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Documents list" sheetId="1" state="visible" r:id="rId1"/>
    <sheet xmlns:r="http://schemas.openxmlformats.org/officeDocument/2006/relationships" name="Success Criteria" sheetId="2" state="hidden" r:id="rId2"/>
    <sheet xmlns:r="http://schemas.openxmlformats.org/officeDocument/2006/relationships" name="2. Supuestos &amp; PL" sheetId="3" state="visible" r:id="rId3"/>
    <sheet xmlns:r="http://schemas.openxmlformats.org/officeDocument/2006/relationships" name="3b. Flujo de Caja" sheetId="4" state="visible" r:id="rId4"/>
    <sheet xmlns:r="http://schemas.openxmlformats.org/officeDocument/2006/relationships" name="4b. KPIs Operativos" sheetId="5" state="visible" r:id="rId5"/>
    <sheet xmlns:r="http://schemas.openxmlformats.org/officeDocument/2006/relationships" name="5b. Modelo Comercial" sheetId="6" state="visible" r:id="rId6"/>
    <sheet xmlns:r="http://schemas.openxmlformats.org/officeDocument/2006/relationships" name="1. Project Profile" sheetId="7" state="visible" r:id="rId7"/>
    <sheet xmlns:r="http://schemas.openxmlformats.org/officeDocument/2006/relationships" name="3. Partner requirements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Roles y Responsabilidades" sheetId="10" state="visible" r:id="rId10"/>
    <sheet xmlns:r="http://schemas.openxmlformats.org/officeDocument/2006/relationships" name="Hoja 2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&quot; t&quot;"/>
    <numFmt numFmtId="165" formatCode="_(\$* #,##0_);_(\$* \(#,##0\);_(\$* \-_);_(@_)"/>
    <numFmt numFmtId="166" formatCode="0&quot; días&quot;"/>
    <numFmt numFmtId="167" formatCode="0.0%"/>
    <numFmt numFmtId="168" formatCode="_(\$* #,##0.0_);_(\$* \(#,##0.0\);_(\$* \-_);_(@_)"/>
    <numFmt numFmtId="169" formatCode="d\ mmm\ yyyy"/>
    <numFmt numFmtId="170" formatCode="dd\ mmm\ yyyy"/>
    <numFmt numFmtId="171" formatCode="mmmm\ yyyy"/>
    <numFmt numFmtId="172" formatCode="dd\ mmmm\ yyyy"/>
    <numFmt numFmtId="173" formatCode="#,##0.0"/>
  </numFmts>
  <fonts count="44">
    <font>
      <name val="Arial"/>
      <color rgb="FF000000"/>
      <sz val="10"/>
      <scheme val="minor"/>
    </font>
    <font>
      <name val="Aptos Narrow"/>
      <color theme="1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292A2E"/>
      <sz val="11"/>
    </font>
    <font>
      <name val="Arial"/>
      <color theme="1"/>
      <sz val="10"/>
    </font>
    <font/>
    <font>
      <name val="Arial"/>
      <b val="1"/>
      <color rgb="FF003366"/>
      <sz val="11"/>
    </font>
    <font>
      <name val="Arial"/>
      <color theme="1"/>
      <sz val="12"/>
    </font>
    <font>
      <name val="Roboto"/>
      <color theme="1"/>
      <sz val="11"/>
    </font>
    <font>
      <name val="Arial"/>
      <b val="1"/>
      <color rgb="FF0000FF"/>
      <sz val="11"/>
      <u val="single"/>
    </font>
    <font>
      <name val="Arial"/>
      <b val="1"/>
      <color theme="1"/>
      <sz val="12"/>
    </font>
    <font>
      <name val="Arial"/>
      <color rgb="FF000000"/>
      <sz val="10"/>
    </font>
    <font>
      <name val="Arial"/>
      <b val="1"/>
      <color theme="1"/>
      <sz val="14"/>
    </font>
    <font>
      <name val="Arial"/>
      <b val="1"/>
      <color rgb="FFFFFFFF"/>
      <sz val="13"/>
    </font>
    <font>
      <name val="Arial"/>
      <i val="1"/>
      <color rgb="FF404040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i val="1"/>
      <color rgb="FF606060"/>
      <sz val="9"/>
    </font>
    <font>
      <name val="Arial"/>
      <i val="1"/>
      <color rgb="FF000000"/>
      <sz val="10"/>
    </font>
    <font>
      <name val="Arial"/>
      <i val="1"/>
      <color rgb="FF000000"/>
      <sz val="9"/>
    </font>
    <font>
      <name val="Arial"/>
      <color rgb="FF606060"/>
      <sz val="10"/>
    </font>
    <font>
      <name val="Arial"/>
      <b val="1"/>
      <color rgb="FF8B0000"/>
      <sz val="10"/>
    </font>
    <font>
      <name val="Arial"/>
      <b val="1"/>
      <color rgb="FF8B0000"/>
      <sz val="11"/>
    </font>
    <font>
      <name val="Arial"/>
      <b val="1"/>
      <color rgb="FF008000"/>
      <sz val="11"/>
    </font>
    <font>
      <name val="Arial"/>
      <b val="1"/>
      <color rgb="FF000000"/>
      <sz val="11"/>
    </font>
    <font>
      <name val="Arial"/>
      <b val="1"/>
      <i val="1"/>
      <color rgb="FF8B0000"/>
      <sz val="10"/>
    </font>
    <font>
      <name val="Arial"/>
      <color rgb="FF008000"/>
      <sz val="10"/>
    </font>
    <font>
      <name val="Arial"/>
      <i val="1"/>
      <color rgb="FF008000"/>
      <sz val="10"/>
    </font>
    <font>
      <name val="Arial"/>
      <color rgb="FF000000"/>
      <sz val="9"/>
    </font>
    <font>
      <name val="Arial"/>
      <color rgb="FF8B0000"/>
      <sz val="9"/>
    </font>
    <font>
      <name val="Arial"/>
      <color rgb="FF606060"/>
      <sz val="9"/>
    </font>
    <font>
      <name val="Arial"/>
      <b val="1"/>
      <color rgb="FF0000FF"/>
      <sz val="10"/>
    </font>
    <font>
      <name val="Arial"/>
      <i val="1"/>
      <color rgb="FF8B0000"/>
      <sz val="9"/>
    </font>
    <font>
      <name val="Arial"/>
      <color rgb="FF000000"/>
      <sz val="11"/>
    </font>
    <font>
      <name val="Arial"/>
      <color rgb="FFCC0000"/>
      <sz val="11"/>
    </font>
    <font>
      <name val="Arial"/>
      <color rgb="FF434343"/>
      <sz val="14"/>
    </font>
    <font>
      <name val="Arial"/>
      <color theme="1"/>
      <sz val="16"/>
    </font>
    <font>
      <name val="Arial"/>
      <color theme="1"/>
      <sz val="22"/>
    </font>
    <font>
      <name val="Arial"/>
      <b val="1"/>
      <color theme="1"/>
      <sz val="18"/>
    </font>
    <font>
      <name val="BerkeleyMono"/>
      <color theme="1"/>
      <sz val="9"/>
    </font>
    <font>
      <name val="Arial"/>
      <color rgb="FF434343"/>
      <sz val="11"/>
    </font>
  </fonts>
  <fills count="29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  <fill>
      <patternFill patternType="solid">
        <fgColor rgb="FFE6D057"/>
        <bgColor rgb="FFE6D057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F2F7FF"/>
        <bgColor rgb="FFF2F7FF"/>
      </patternFill>
    </fill>
    <fill>
      <patternFill patternType="solid">
        <fgColor rgb="FFBDD7EE"/>
        <bgColor rgb="FFBDD7EE"/>
      </patternFill>
    </fill>
    <fill>
      <patternFill patternType="solid">
        <fgColor rgb="FFD6E4F7"/>
        <bgColor rgb="FFD6E4F7"/>
      </patternFill>
    </fill>
    <fill>
      <patternFill patternType="solid">
        <fgColor rgb="FF8B0000"/>
        <bgColor rgb="FF8B00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AFFF3"/>
        <bgColor rgb="FFEAFFF3"/>
      </patternFill>
    </fill>
    <fill>
      <patternFill patternType="solid">
        <fgColor rgb="FFFFF5E2"/>
        <bgColor rgb="FFFFF5E2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1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top style="thick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/>
    </border>
    <border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4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2" fillId="4" borderId="2" applyAlignment="1" pivotButton="0" quotePrefix="0" xfId="0">
      <alignment horizontal="center" vertical="bottom"/>
    </xf>
    <xf numFmtId="0" fontId="6" fillId="0" borderId="3" pivotButton="0" quotePrefix="0" xfId="0"/>
    <xf numFmtId="0" fontId="6" fillId="0" borderId="4" pivotButton="0" quotePrefix="0" xfId="0"/>
    <xf numFmtId="0" fontId="7" fillId="5" borderId="5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9" pivotButton="0" quotePrefix="0" xfId="0"/>
    <xf numFmtId="0" fontId="6" fillId="0" borderId="10" pivotButton="0" quotePrefix="0" xfId="0"/>
    <xf numFmtId="0" fontId="6" fillId="0" borderId="11" pivotButton="0" quotePrefix="0" xfId="0"/>
    <xf numFmtId="0" fontId="6" fillId="0" borderId="12" pivotButton="0" quotePrefix="0" xfId="0"/>
    <xf numFmtId="0" fontId="6" fillId="0" borderId="13" pivotButton="0" quotePrefix="0" xfId="0"/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/>
    </xf>
    <xf numFmtId="0" fontId="6" fillId="0" borderId="18" pivotButton="0" quotePrefix="0" xfId="0"/>
    <xf numFmtId="0" fontId="6" fillId="0" borderId="19" pivotButton="0" quotePrefix="0" xfId="0"/>
    <xf numFmtId="0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 wrapText="1"/>
    </xf>
    <xf numFmtId="0" fontId="5" fillId="0" borderId="20" applyAlignment="1" pivotButton="0" quotePrefix="0" xfId="0">
      <alignment vertical="bottom" wrapText="1"/>
    </xf>
    <xf numFmtId="49" fontId="9" fillId="7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vertical="bottom"/>
    </xf>
    <xf numFmtId="49" fontId="9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5" fillId="0" borderId="23" applyAlignment="1" pivotButton="0" quotePrefix="0" xfId="0">
      <alignment vertical="bottom" wrapText="1"/>
    </xf>
    <xf numFmtId="49" fontId="9" fillId="7" borderId="2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0" borderId="25" applyAlignment="1" pivotButton="0" quotePrefix="0" xfId="0">
      <alignment vertical="bottom"/>
    </xf>
    <xf numFmtId="0" fontId="5" fillId="0" borderId="25" applyAlignment="1" pivotButton="0" quotePrefix="0" xfId="0">
      <alignment vertical="bottom" wrapText="1"/>
    </xf>
    <xf numFmtId="0" fontId="5" fillId="0" borderId="26" applyAlignment="1" pivotButton="0" quotePrefix="0" xfId="0">
      <alignment vertical="bottom"/>
    </xf>
    <xf numFmtId="0" fontId="5" fillId="0" borderId="27" applyAlignment="1" pivotButton="0" quotePrefix="0" xfId="0">
      <alignment vertical="bottom"/>
    </xf>
    <xf numFmtId="0" fontId="3" fillId="0" borderId="20" applyAlignment="1" pivotButton="0" quotePrefix="0" xfId="0">
      <alignment vertical="bottom"/>
    </xf>
    <xf numFmtId="0" fontId="5" fillId="0" borderId="28" applyAlignment="1" pivotButton="0" quotePrefix="0" xfId="0">
      <alignment vertical="bottom"/>
    </xf>
    <xf numFmtId="0" fontId="5" fillId="0" borderId="29" applyAlignment="1" pivotButton="0" quotePrefix="0" xfId="0">
      <alignment vertical="bottom"/>
    </xf>
    <xf numFmtId="0" fontId="4" fillId="3" borderId="30" applyAlignment="1" pivotButton="0" quotePrefix="0" xfId="0">
      <alignment vertical="bottom"/>
    </xf>
    <xf numFmtId="0" fontId="5" fillId="3" borderId="20" applyAlignment="1" pivotButton="0" quotePrefix="0" xfId="0">
      <alignment vertical="bottom" wrapText="1"/>
    </xf>
    <xf numFmtId="0" fontId="5" fillId="0" borderId="31" applyAlignment="1" pivotButton="0" quotePrefix="0" xfId="0">
      <alignment horizontal="right" vertical="bottom"/>
    </xf>
    <xf numFmtId="0" fontId="3" fillId="8" borderId="32" applyAlignment="1" pivotButton="0" quotePrefix="0" xfId="0">
      <alignment vertical="bottom"/>
    </xf>
    <xf numFmtId="0" fontId="10" fillId="8" borderId="33" applyAlignment="1" pivotButton="0" quotePrefix="0" xfId="0">
      <alignment vertical="center" wrapText="1"/>
    </xf>
    <xf numFmtId="0" fontId="3" fillId="8" borderId="34" applyAlignment="1" pivotButton="0" quotePrefix="0" xfId="0">
      <alignment vertical="bottom"/>
    </xf>
    <xf numFmtId="0" fontId="3" fillId="0" borderId="18" applyAlignment="1" pivotButton="0" quotePrefix="0" xfId="0">
      <alignment horizontal="center" vertical="center" wrapText="1"/>
    </xf>
    <xf numFmtId="0" fontId="6" fillId="0" borderId="35" pivotButton="0" quotePrefix="0" xfId="0"/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5" fillId="3" borderId="30" applyAlignment="1" pivotButton="0" quotePrefix="0" xfId="0">
      <alignment vertical="bottom" wrapText="1"/>
    </xf>
    <xf numFmtId="0" fontId="3" fillId="3" borderId="30" applyAlignment="1" pivotButton="0" quotePrefix="0" xfId="0">
      <alignment vertical="bottom"/>
    </xf>
    <xf numFmtId="0" fontId="3" fillId="3" borderId="20" applyAlignment="1" pivotButton="0" quotePrefix="0" xfId="0">
      <alignment vertical="bottom"/>
    </xf>
    <xf numFmtId="0" fontId="5" fillId="0" borderId="36" applyAlignment="1" pivotButton="0" quotePrefix="0" xfId="0">
      <alignment vertical="bottom"/>
    </xf>
    <xf numFmtId="0" fontId="5" fillId="2" borderId="37" applyAlignment="1" pivotButton="0" quotePrefix="0" xfId="0">
      <alignment vertical="bottom" wrapText="1"/>
    </xf>
    <xf numFmtId="0" fontId="3" fillId="2" borderId="30" applyAlignment="1" pivotButton="0" quotePrefix="0" xfId="0">
      <alignment vertical="bottom" wrapText="1"/>
    </xf>
    <xf numFmtId="0" fontId="5" fillId="0" borderId="38" applyAlignment="1" pivotButton="0" quotePrefix="0" xfId="0">
      <alignment vertical="bottom"/>
    </xf>
    <xf numFmtId="0" fontId="5" fillId="0" borderId="39" applyAlignment="1" pivotButton="0" quotePrefix="0" xfId="0">
      <alignment horizontal="right" vertical="bottom"/>
    </xf>
    <xf numFmtId="0" fontId="4" fillId="2" borderId="30" applyAlignment="1" pivotButton="0" quotePrefix="0" xfId="0">
      <alignment vertical="bottom"/>
    </xf>
    <xf numFmtId="0" fontId="5" fillId="2" borderId="30" applyAlignment="1" pivotButton="0" quotePrefix="0" xfId="0">
      <alignment vertical="bottom" wrapText="1"/>
    </xf>
    <xf numFmtId="49" fontId="9" fillId="7" borderId="30" applyAlignment="1" pivotButton="0" quotePrefix="0" xfId="0">
      <alignment horizontal="center" vertical="center" wrapText="1"/>
    </xf>
    <xf numFmtId="0" fontId="5" fillId="0" borderId="40" applyAlignment="1" pivotButton="0" quotePrefix="0" xfId="0">
      <alignment vertical="bottom" wrapText="1"/>
    </xf>
    <xf numFmtId="0" fontId="5" fillId="0" borderId="41" applyAlignment="1" pivotButton="0" quotePrefix="0" xfId="0">
      <alignment vertical="bottom"/>
    </xf>
    <xf numFmtId="0" fontId="5" fillId="3" borderId="37" applyAlignment="1" pivotButton="0" quotePrefix="0" xfId="0">
      <alignment vertical="bottom" wrapText="1"/>
    </xf>
    <xf numFmtId="0" fontId="3" fillId="3" borderId="30" applyAlignment="1" pivotButton="0" quotePrefix="0" xfId="0">
      <alignment vertical="bottom" wrapText="1"/>
    </xf>
    <xf numFmtId="0" fontId="5" fillId="0" borderId="42" applyAlignment="1" pivotButton="0" quotePrefix="0" xfId="0">
      <alignment vertical="bottom"/>
    </xf>
    <xf numFmtId="0" fontId="5" fillId="0" borderId="43" applyAlignment="1" pivotButton="0" quotePrefix="0" xfId="0">
      <alignment horizontal="right" vertical="bottom"/>
    </xf>
    <xf numFmtId="0" fontId="3" fillId="0" borderId="44" applyAlignment="1" pivotButton="0" quotePrefix="0" xfId="0">
      <alignment vertical="bottom"/>
    </xf>
    <xf numFmtId="0" fontId="5" fillId="0" borderId="44" applyAlignment="1" pivotButton="0" quotePrefix="0" xfId="0">
      <alignment vertical="bottom" wrapText="1"/>
    </xf>
    <xf numFmtId="0" fontId="5" fillId="0" borderId="45" applyAlignment="1" pivotButton="0" quotePrefix="0" xfId="0">
      <alignment vertical="bottom"/>
    </xf>
    <xf numFmtId="0" fontId="11" fillId="9" borderId="2" applyAlignment="1" pivotButton="0" quotePrefix="0" xfId="0">
      <alignment vertical="top" wrapText="1"/>
    </xf>
    <xf numFmtId="0" fontId="6" fillId="0" borderId="46" pivotButton="0" quotePrefix="0" xfId="0"/>
    <xf numFmtId="0" fontId="12" fillId="0" borderId="0" applyAlignment="1" pivotButton="0" quotePrefix="0" xfId="0">
      <alignment vertical="bottom"/>
    </xf>
    <xf numFmtId="0" fontId="13" fillId="10" borderId="47" applyAlignment="1" pivotButton="0" quotePrefix="0" xfId="0">
      <alignment horizontal="center" vertical="center"/>
    </xf>
    <xf numFmtId="0" fontId="6" fillId="0" borderId="48" pivotButton="0" quotePrefix="0" xfId="0"/>
    <xf numFmtId="0" fontId="6" fillId="0" borderId="49" pivotButton="0" quotePrefix="0" xfId="0"/>
    <xf numFmtId="0" fontId="13" fillId="11" borderId="47" applyAlignment="1" pivotButton="0" quotePrefix="0" xfId="0">
      <alignment horizontal="center" vertical="center"/>
    </xf>
    <xf numFmtId="0" fontId="2" fillId="12" borderId="24" applyAlignment="1" pivotButton="0" quotePrefix="0" xfId="0">
      <alignment horizontal="center" vertical="center"/>
    </xf>
    <xf numFmtId="0" fontId="2" fillId="12" borderId="24" applyAlignment="1" pivotButton="0" quotePrefix="0" xfId="0">
      <alignment horizontal="center" vertical="center" wrapText="1"/>
    </xf>
    <xf numFmtId="0" fontId="3" fillId="0" borderId="50" applyAlignment="1" pivotButton="0" quotePrefix="0" xfId="0">
      <alignment vertical="bottom"/>
    </xf>
    <xf numFmtId="0" fontId="3" fillId="0" borderId="51" applyAlignment="1" pivotButton="0" quotePrefix="0" xfId="0">
      <alignment vertical="bottom"/>
    </xf>
    <xf numFmtId="10" fontId="3" fillId="0" borderId="51" applyAlignment="1" pivotButton="0" quotePrefix="0" xfId="0">
      <alignment vertical="bottom"/>
    </xf>
    <xf numFmtId="0" fontId="3" fillId="0" borderId="52" applyAlignment="1" pivotButton="0" quotePrefix="0" xfId="0">
      <alignment vertical="bottom"/>
    </xf>
    <xf numFmtId="0" fontId="3" fillId="0" borderId="53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10" fontId="3" fillId="0" borderId="1" applyAlignment="1" pivotButton="0" quotePrefix="0" xfId="0">
      <alignment vertical="bottom"/>
    </xf>
    <xf numFmtId="0" fontId="3" fillId="0" borderId="54" applyAlignment="1" pivotButton="0" quotePrefix="0" xfId="0">
      <alignment vertical="bottom"/>
    </xf>
    <xf numFmtId="0" fontId="3" fillId="0" borderId="14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10" fontId="3" fillId="0" borderId="15" applyAlignment="1" pivotButton="0" quotePrefix="0" xfId="0">
      <alignment vertical="bottom"/>
    </xf>
    <xf numFmtId="0" fontId="3" fillId="0" borderId="16" applyAlignment="1" pivotButton="0" quotePrefix="0" xfId="0">
      <alignment vertical="bottom"/>
    </xf>
    <xf numFmtId="0" fontId="3" fillId="0" borderId="55" applyAlignment="1" pivotButton="0" quotePrefix="0" xfId="0">
      <alignment horizontal="right" vertical="bottom"/>
    </xf>
    <xf numFmtId="0" fontId="3" fillId="0" borderId="55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2" fillId="0" borderId="1" applyAlignment="1" pivotButton="0" quotePrefix="0" xfId="0">
      <alignment horizontal="right" vertical="bottom"/>
    </xf>
    <xf numFmtId="0" fontId="14" fillId="13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3" borderId="2" applyAlignment="1" pivotButton="0" quotePrefix="0" xfId="0">
      <alignment horizontal="left" vertical="center"/>
    </xf>
    <xf numFmtId="0" fontId="17" fillId="14" borderId="3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center"/>
    </xf>
    <xf numFmtId="0" fontId="17" fillId="14" borderId="30" applyAlignment="1" pivotButton="0" quotePrefix="0" xfId="0">
      <alignment horizontal="left" vertical="center"/>
    </xf>
    <xf numFmtId="0" fontId="17" fillId="14" borderId="30" applyAlignment="1" pivotButton="0" quotePrefix="0" xfId="0">
      <alignment horizontal="center" vertical="center"/>
    </xf>
    <xf numFmtId="0" fontId="17" fillId="14" borderId="2" applyAlignment="1" pivotButton="0" quotePrefix="0" xfId="0">
      <alignment horizontal="left" vertical="center"/>
    </xf>
    <xf numFmtId="0" fontId="12" fillId="15" borderId="30" applyAlignment="1" pivotButton="0" quotePrefix="0" xfId="0">
      <alignment horizontal="left" vertical="center" wrapText="1"/>
    </xf>
    <xf numFmtId="165" fontId="19" fillId="15" borderId="30" applyAlignment="1" pivotButton="0" quotePrefix="0" xfId="0">
      <alignment horizontal="center" vertical="center"/>
    </xf>
    <xf numFmtId="0" fontId="20" fillId="15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165" fontId="19" fillId="15" borderId="30" applyAlignment="1" pivotButton="0" quotePrefix="0" xfId="0">
      <alignment horizontal="center" vertical="center"/>
    </xf>
    <xf numFmtId="0" fontId="12" fillId="15" borderId="30" applyAlignment="1" pivotButton="0" quotePrefix="0" xfId="0">
      <alignment horizontal="left" vertical="center" wrapText="1"/>
    </xf>
    <xf numFmtId="0" fontId="12" fillId="15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center" vertical="center"/>
    </xf>
    <xf numFmtId="0" fontId="18" fillId="16" borderId="30" applyAlignment="1" pivotButton="0" quotePrefix="0" xfId="0">
      <alignment horizontal="left" vertical="center" wrapText="1"/>
    </xf>
    <xf numFmtId="165" fontId="18" fillId="16" borderId="30" applyAlignment="1" pivotButton="0" quotePrefix="0" xfId="0">
      <alignment horizontal="center" vertical="center"/>
    </xf>
    <xf numFmtId="0" fontId="22" fillId="16" borderId="2" applyAlignment="1" pivotButton="0" quotePrefix="0" xfId="0">
      <alignment horizontal="left" vertical="center" wrapText="1"/>
    </xf>
    <xf numFmtId="0" fontId="18" fillId="17" borderId="30" applyAlignment="1" pivotButton="0" quotePrefix="0" xfId="0">
      <alignment horizontal="left" vertical="center" wrapText="1"/>
    </xf>
    <xf numFmtId="165" fontId="18" fillId="17" borderId="30" applyAlignment="1" pivotButton="0" quotePrefix="0" xfId="0">
      <alignment horizontal="center" vertical="center"/>
    </xf>
    <xf numFmtId="167" fontId="23" fillId="0" borderId="0" applyAlignment="1" pivotButton="0" quotePrefix="0" xfId="0">
      <alignment horizontal="center" vertical="center"/>
    </xf>
    <xf numFmtId="0" fontId="18" fillId="9" borderId="30" applyAlignment="1" pivotButton="0" quotePrefix="0" xfId="0">
      <alignment horizontal="left" vertical="center" wrapText="1"/>
    </xf>
    <xf numFmtId="165" fontId="18" fillId="9" borderId="30" applyAlignment="1" pivotButton="0" quotePrefix="0" xfId="0">
      <alignment horizontal="center" vertical="center"/>
    </xf>
    <xf numFmtId="168" fontId="23" fillId="0" borderId="0" applyAlignment="1" pivotButton="0" quotePrefix="0" xfId="0">
      <alignment horizontal="center" vertical="center"/>
    </xf>
    <xf numFmtId="0" fontId="24" fillId="9" borderId="30" applyAlignment="1" pivotButton="0" quotePrefix="0" xfId="0">
      <alignment horizontal="left" vertical="center" wrapText="1"/>
    </xf>
    <xf numFmtId="0" fontId="25" fillId="9" borderId="30" applyAlignment="1" pivotButton="0" quotePrefix="0" xfId="0">
      <alignment horizontal="center" vertical="center"/>
    </xf>
    <xf numFmtId="0" fontId="22" fillId="9" borderId="2" applyAlignment="1" pivotButton="0" quotePrefix="0" xfId="0">
      <alignment horizontal="left" vertical="center" wrapText="1"/>
    </xf>
    <xf numFmtId="0" fontId="17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 wrapText="1"/>
    </xf>
    <xf numFmtId="165" fontId="26" fillId="15" borderId="2" applyAlignment="1" pivotButton="0" quotePrefix="0" xfId="0">
      <alignment horizontal="center" vertical="center"/>
    </xf>
    <xf numFmtId="165" fontId="26" fillId="0" borderId="0" applyAlignment="1" pivotButton="0" quotePrefix="0" xfId="0">
      <alignment horizontal="center" vertical="center"/>
    </xf>
    <xf numFmtId="165" fontId="27" fillId="0" borderId="0" applyAlignment="1" pivotButton="0" quotePrefix="0" xfId="0">
      <alignment horizontal="center" vertical="center"/>
    </xf>
    <xf numFmtId="0" fontId="12" fillId="15" borderId="30" applyAlignment="1" pivotButton="0" quotePrefix="0" xfId="0">
      <alignment horizontal="left" vertical="center"/>
    </xf>
    <xf numFmtId="0" fontId="12" fillId="15" borderId="30" applyAlignment="1" pivotButton="0" quotePrefix="0" xfId="0">
      <alignment horizontal="center" vertical="center"/>
    </xf>
    <xf numFmtId="165" fontId="12" fillId="15" borderId="30" applyAlignment="1" pivotButton="0" quotePrefix="0" xfId="0">
      <alignment horizontal="center" vertical="center"/>
    </xf>
    <xf numFmtId="167" fontId="12" fillId="15" borderId="30" applyAlignment="1" pivotButton="0" quotePrefix="0" xfId="0">
      <alignment horizontal="center" vertical="center"/>
    </xf>
    <xf numFmtId="9" fontId="19" fillId="15" borderId="30" applyAlignment="1" pivotButton="0" quotePrefix="0" xfId="0">
      <alignment horizontal="center" vertical="center"/>
    </xf>
    <xf numFmtId="168" fontId="12" fillId="15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9" fontId="19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0" fontId="18" fillId="16" borderId="30" applyAlignment="1" pivotButton="0" quotePrefix="0" xfId="0">
      <alignment horizontal="left" vertical="center"/>
    </xf>
    <xf numFmtId="167" fontId="18" fillId="16" borderId="30" applyAlignment="1" pivotButton="0" quotePrefix="0" xfId="0">
      <alignment horizontal="center" vertical="center"/>
    </xf>
    <xf numFmtId="9" fontId="18" fillId="16" borderId="30" applyAlignment="1" pivotButton="0" quotePrefix="0" xfId="0">
      <alignment horizontal="center" vertical="center"/>
    </xf>
    <xf numFmtId="168" fontId="18" fillId="16" borderId="30" applyAlignment="1" pivotButton="0" quotePrefix="0" xfId="0">
      <alignment horizontal="center" vertical="center"/>
    </xf>
    <xf numFmtId="0" fontId="16" fillId="18" borderId="2" applyAlignment="1" pivotButton="0" quotePrefix="0" xfId="0">
      <alignment horizontal="left" vertical="center"/>
    </xf>
    <xf numFmtId="0" fontId="18" fillId="15" borderId="30" applyAlignment="1" pivotButton="0" quotePrefix="0" xfId="0">
      <alignment horizontal="left" vertical="center" wrapText="1"/>
    </xf>
    <xf numFmtId="0" fontId="19" fillId="15" borderId="30" applyAlignment="1" pivotButton="0" quotePrefix="0" xfId="0">
      <alignment horizontal="center" vertical="center"/>
    </xf>
    <xf numFmtId="165" fontId="18" fillId="15" borderId="30" applyAlignment="1" pivotButton="0" quotePrefix="0" xfId="0">
      <alignment horizontal="center" vertical="center"/>
    </xf>
    <xf numFmtId="0" fontId="18" fillId="15" borderId="3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8" fillId="9" borderId="2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29" fillId="15" borderId="30" applyAlignment="1" pivotButton="0" quotePrefix="0" xfId="0">
      <alignment horizontal="left" vertical="center"/>
    </xf>
    <xf numFmtId="164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165" fontId="29" fillId="0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center" vertical="center"/>
    </xf>
    <xf numFmtId="165" fontId="30" fillId="0" borderId="0" applyAlignment="1" pivotButton="0" quotePrefix="0" xfId="0">
      <alignment horizontal="center" vertical="center"/>
    </xf>
    <xf numFmtId="165" fontId="27" fillId="15" borderId="2" applyAlignment="1" pivotButton="0" quotePrefix="0" xfId="0">
      <alignment horizontal="center" vertical="center"/>
    </xf>
    <xf numFmtId="1" fontId="27" fillId="0" borderId="0" applyAlignment="1" pivotButton="0" quotePrefix="0" xfId="0">
      <alignment horizontal="center" vertical="center"/>
    </xf>
    <xf numFmtId="0" fontId="31" fillId="15" borderId="30" applyAlignment="1" pivotButton="0" quotePrefix="0" xfId="0">
      <alignment horizontal="left" vertical="center" wrapText="1"/>
    </xf>
    <xf numFmtId="0" fontId="20" fillId="15" borderId="30" applyAlignment="1" pivotButton="0" quotePrefix="0" xfId="0">
      <alignment horizontal="left" vertical="center" wrapText="1"/>
    </xf>
    <xf numFmtId="0" fontId="32" fillId="15" borderId="30" applyAlignment="1" pivotButton="0" quotePrefix="0" xfId="0">
      <alignment horizontal="left" vertical="center" wrapText="1"/>
    </xf>
    <xf numFmtId="0" fontId="33" fillId="15" borderId="30" applyAlignment="1" pivotButton="0" quotePrefix="0" xfId="0">
      <alignment horizontal="left" vertical="center" wrapText="1"/>
    </xf>
    <xf numFmtId="0" fontId="31" fillId="15" borderId="3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2" fillId="15" borderId="3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8" fillId="16" borderId="30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34" fillId="15" borderId="30" applyAlignment="1" pivotButton="0" quotePrefix="0" xfId="0">
      <alignment horizontal="left" vertical="center" wrapText="1"/>
    </xf>
    <xf numFmtId="0" fontId="35" fillId="15" borderId="2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3" fillId="19" borderId="47" applyAlignment="1" pivotButton="0" quotePrefix="0" xfId="0">
      <alignment horizontal="center" vertical="center" wrapText="1"/>
    </xf>
    <xf numFmtId="0" fontId="2" fillId="19" borderId="47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top" wrapText="1"/>
    </xf>
    <xf numFmtId="0" fontId="3" fillId="0" borderId="47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20" borderId="24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2" fillId="20" borderId="56" applyAlignment="1" pivotButton="0" quotePrefix="0" xfId="0">
      <alignment horizontal="left" vertical="top" wrapText="1"/>
    </xf>
    <xf numFmtId="0" fontId="2" fillId="0" borderId="47" applyAlignment="1" pivotButton="0" quotePrefix="0" xfId="0">
      <alignment horizontal="left" vertical="top" wrapText="1"/>
    </xf>
    <xf numFmtId="0" fontId="6" fillId="0" borderId="55" pivotButton="0" quotePrefix="0" xfId="0"/>
    <xf numFmtId="0" fontId="12" fillId="0" borderId="47" applyAlignment="1" pivotButton="0" quotePrefix="0" xfId="0">
      <alignment horizontal="left" vertical="top" wrapText="1"/>
    </xf>
    <xf numFmtId="0" fontId="27" fillId="0" borderId="47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center" vertical="bottom" wrapText="1"/>
    </xf>
    <xf numFmtId="0" fontId="2" fillId="0" borderId="1" applyAlignment="1" pivotButton="0" quotePrefix="0" xfId="0">
      <alignment horizontal="left" vertical="top" wrapText="1"/>
    </xf>
    <xf numFmtId="0" fontId="36" fillId="0" borderId="47" applyAlignment="1" pivotButton="0" quotePrefix="0" xfId="0">
      <alignment horizontal="left" vertical="bottom" wrapText="1"/>
    </xf>
    <xf numFmtId="0" fontId="36" fillId="0" borderId="1" applyAlignment="1" pivotButton="0" quotePrefix="0" xfId="0">
      <alignment horizontal="left" vertical="bottom" wrapText="1"/>
    </xf>
    <xf numFmtId="169" fontId="36" fillId="0" borderId="1" applyAlignment="1" pivotButton="0" quotePrefix="0" xfId="0">
      <alignment horizontal="left" vertical="bottom" wrapText="1"/>
    </xf>
    <xf numFmtId="0" fontId="37" fillId="0" borderId="47" applyAlignment="1" pivotButton="0" quotePrefix="0" xfId="0">
      <alignment horizontal="left" vertical="bottom" wrapText="1"/>
    </xf>
    <xf numFmtId="0" fontId="37" fillId="0" borderId="1" applyAlignment="1" pivotButton="0" quotePrefix="0" xfId="0">
      <alignment horizontal="left" vertical="bottom" wrapText="1"/>
    </xf>
    <xf numFmtId="170" fontId="37" fillId="0" borderId="1" applyAlignment="1" pivotButton="0" quotePrefix="0" xfId="0">
      <alignment horizontal="left" vertical="bottom" wrapText="1"/>
    </xf>
    <xf numFmtId="0" fontId="36" fillId="0" borderId="0" applyAlignment="1" pivotButton="0" quotePrefix="0" xfId="0">
      <alignment horizontal="left" vertical="bottom" wrapText="1"/>
    </xf>
    <xf numFmtId="170" fontId="36" fillId="0" borderId="1" applyAlignment="1" pivotButton="0" quotePrefix="0" xfId="0">
      <alignment horizontal="left" vertical="bottom" wrapText="1"/>
    </xf>
    <xf numFmtId="0" fontId="36" fillId="0" borderId="0" applyAlignment="1" pivotButton="0" quotePrefix="0" xfId="0">
      <alignment vertical="bottom"/>
    </xf>
    <xf numFmtId="171" fontId="3" fillId="21" borderId="47" applyAlignment="1" pivotButton="0" quotePrefix="0" xfId="0">
      <alignment horizontal="left" vertical="top" wrapText="1"/>
    </xf>
    <xf numFmtId="172" fontId="37" fillId="0" borderId="1" applyAlignment="1" pivotButton="0" quotePrefix="0" xfId="0">
      <alignment horizontal="left" vertical="top" wrapText="1"/>
    </xf>
    <xf numFmtId="0" fontId="38" fillId="0" borderId="0" applyAlignment="1" pivotButton="0" quotePrefix="0" xfId="0">
      <alignment vertical="bottom"/>
    </xf>
    <xf numFmtId="0" fontId="2" fillId="20" borderId="57" applyAlignment="1" pivotButton="0" quotePrefix="0" xfId="0">
      <alignment horizontal="left" vertical="top" wrapText="1"/>
    </xf>
    <xf numFmtId="0" fontId="2" fillId="20" borderId="58" applyAlignment="1" pivotButton="0" quotePrefix="0" xfId="0">
      <alignment horizontal="left" vertical="top" wrapText="1"/>
    </xf>
    <xf numFmtId="0" fontId="18" fillId="0" borderId="56" applyAlignment="1" pivotButton="0" quotePrefix="0" xfId="0">
      <alignment horizontal="left" vertical="bottom" wrapText="1"/>
    </xf>
    <xf numFmtId="0" fontId="12" fillId="0" borderId="1" applyAlignment="1" pivotButton="0" quotePrefix="0" xfId="0">
      <alignment horizontal="left" vertical="bottom" wrapText="1"/>
    </xf>
    <xf numFmtId="165" fontId="19" fillId="0" borderId="1" applyAlignment="1" pivotButton="0" quotePrefix="0" xfId="0">
      <alignment horizontal="center" vertical="center"/>
    </xf>
    <xf numFmtId="0" fontId="5" fillId="0" borderId="47" applyAlignment="1" pivotButton="0" quotePrefix="0" xfId="0">
      <alignment horizontal="left" vertical="bottom" wrapText="1"/>
    </xf>
    <xf numFmtId="3" fontId="37" fillId="0" borderId="1" applyAlignment="1" pivotButton="0" quotePrefix="0" xfId="0">
      <alignment horizontal="right" vertical="top" wrapText="1"/>
    </xf>
    <xf numFmtId="0" fontId="5" fillId="0" borderId="47" applyAlignment="1" pivotButton="0" quotePrefix="0" xfId="0">
      <alignment horizontal="left" vertical="top" wrapText="1"/>
    </xf>
    <xf numFmtId="0" fontId="6" fillId="0" borderId="59" pivotButton="0" quotePrefix="0" xfId="0"/>
    <xf numFmtId="165" fontId="19" fillId="0" borderId="1" applyAlignment="1" pivotButton="0" quotePrefix="0" xfId="0">
      <alignment horizontal="center" vertical="center"/>
    </xf>
    <xf numFmtId="0" fontId="12" fillId="0" borderId="56" applyAlignment="1" pivotButton="0" quotePrefix="0" xfId="0">
      <alignment horizontal="left" vertical="bottom" wrapText="1"/>
    </xf>
    <xf numFmtId="165" fontId="3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165" fontId="18" fillId="16" borderId="1" applyAlignment="1" pivotButton="0" quotePrefix="0" xfId="0">
      <alignment horizontal="center" vertical="center"/>
    </xf>
    <xf numFmtId="0" fontId="12" fillId="0" borderId="59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right" vertical="top" wrapText="1"/>
    </xf>
    <xf numFmtId="0" fontId="12" fillId="19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top" wrapText="1"/>
    </xf>
    <xf numFmtId="0" fontId="2" fillId="22" borderId="47" applyAlignment="1" pivotButton="0" quotePrefix="0" xfId="0">
      <alignment horizontal="center" vertical="top" wrapText="1"/>
    </xf>
    <xf numFmtId="0" fontId="2" fillId="20" borderId="47" applyAlignment="1" pivotButton="0" quotePrefix="0" xfId="0">
      <alignment horizontal="center" vertical="top" wrapText="1"/>
    </xf>
    <xf numFmtId="0" fontId="2" fillId="20" borderId="57" applyAlignment="1" pivotButton="0" quotePrefix="0" xfId="0">
      <alignment horizontal="center" vertical="top" wrapText="1"/>
    </xf>
    <xf numFmtId="3" fontId="39" fillId="0" borderId="49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left" vertical="bottom" wrapText="1"/>
    </xf>
    <xf numFmtId="0" fontId="3" fillId="0" borderId="0" applyAlignment="1" pivotButton="0" quotePrefix="0" xfId="0">
      <alignment vertical="top"/>
    </xf>
    <xf numFmtId="3" fontId="2" fillId="20" borderId="57" applyAlignment="1" pivotButton="0" quotePrefix="0" xfId="0">
      <alignment horizontal="center" vertical="top" wrapText="1"/>
    </xf>
    <xf numFmtId="0" fontId="12" fillId="0" borderId="47" applyAlignment="1" pivotButton="0" quotePrefix="0" xfId="0">
      <alignment vertical="top"/>
    </xf>
    <xf numFmtId="3" fontId="39" fillId="23" borderId="58" applyAlignment="1" pivotButton="0" quotePrefix="0" xfId="0">
      <alignment horizontal="center" vertical="bottom" wrapText="1"/>
    </xf>
    <xf numFmtId="0" fontId="37" fillId="0" borderId="47" applyAlignment="1" pivotButton="0" quotePrefix="0" xfId="0">
      <alignment vertical="top"/>
    </xf>
    <xf numFmtId="0" fontId="3" fillId="0" borderId="47" applyAlignment="1" pivotButton="0" quotePrefix="0" xfId="0">
      <alignment vertical="top"/>
    </xf>
    <xf numFmtId="0" fontId="2" fillId="19" borderId="1" applyAlignment="1" pivotButton="0" quotePrefix="0" xfId="0">
      <alignment horizontal="center" vertical="center" wrapText="1"/>
    </xf>
    <xf numFmtId="0" fontId="2" fillId="19" borderId="60" applyAlignment="1" pivotButton="0" quotePrefix="0" xfId="0">
      <alignment horizontal="center" vertical="center" wrapText="1"/>
    </xf>
    <xf numFmtId="0" fontId="2" fillId="19" borderId="58" applyAlignment="1" pivotButton="0" quotePrefix="0" xfId="0">
      <alignment horizontal="center" vertical="center" wrapText="1"/>
    </xf>
    <xf numFmtId="3" fontId="18" fillId="0" borderId="0" applyAlignment="1" pivotButton="0" quotePrefix="0" xfId="0">
      <alignment horizontal="left" vertical="bottom" wrapText="1"/>
    </xf>
    <xf numFmtId="3" fontId="12" fillId="0" borderId="0" applyAlignment="1" pivotButton="0" quotePrefix="0" xfId="0">
      <alignment horizontal="left" vertical="bottom" wrapText="1"/>
    </xf>
    <xf numFmtId="3" fontId="3" fillId="0" borderId="55" applyAlignment="1" pivotButton="0" quotePrefix="0" xfId="0">
      <alignment horizontal="right" vertical="top" wrapText="1"/>
    </xf>
    <xf numFmtId="3" fontId="3" fillId="0" borderId="61" applyAlignment="1" pivotButton="0" quotePrefix="0" xfId="0">
      <alignment horizontal="right" vertical="top" wrapText="1"/>
    </xf>
    <xf numFmtId="0" fontId="6" fillId="0" borderId="62" pivotButton="0" quotePrefix="0" xfId="0"/>
    <xf numFmtId="0" fontId="6" fillId="0" borderId="63" pivotButton="0" quotePrefix="0" xfId="0"/>
    <xf numFmtId="0" fontId="37" fillId="0" borderId="47" applyAlignment="1" pivotButton="0" quotePrefix="0" xfId="0">
      <alignment horizontal="left" vertical="top" wrapText="1"/>
    </xf>
    <xf numFmtId="173" fontId="39" fillId="0" borderId="48" applyAlignment="1" pivotButton="0" quotePrefix="0" xfId="0">
      <alignment horizontal="center" vertical="center" wrapText="1"/>
    </xf>
    <xf numFmtId="0" fontId="40" fillId="0" borderId="64" applyAlignment="1" pivotButton="0" quotePrefix="0" xfId="0">
      <alignment horizontal="center" vertical="center" wrapText="1"/>
    </xf>
    <xf numFmtId="0" fontId="6" fillId="0" borderId="65" pivotButton="0" quotePrefix="0" xfId="0"/>
    <xf numFmtId="0" fontId="40" fillId="0" borderId="47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left" vertical="bottom" wrapText="1"/>
    </xf>
    <xf numFmtId="3" fontId="12" fillId="0" borderId="47" applyAlignment="1" pivotButton="0" quotePrefix="0" xfId="0">
      <alignment horizontal="left" vertical="bottom" wrapText="1"/>
    </xf>
    <xf numFmtId="3" fontId="12" fillId="0" borderId="1" applyAlignment="1" pivotButton="0" quotePrefix="0" xfId="0">
      <alignment horizontal="left" vertical="bottom" wrapText="1"/>
    </xf>
    <xf numFmtId="3" fontId="3" fillId="0" borderId="0" applyAlignment="1" pivotButton="0" quotePrefix="0" xfId="0">
      <alignment vertical="bottom"/>
    </xf>
    <xf numFmtId="3" fontId="3" fillId="0" borderId="0" applyAlignment="1" pivotButton="0" quotePrefix="0" xfId="0">
      <alignment horizontal="right" vertical="top" wrapText="1"/>
    </xf>
    <xf numFmtId="0" fontId="2" fillId="19" borderId="30" applyAlignment="1" pivotButton="0" quotePrefix="0" xfId="0">
      <alignment horizontal="center" vertical="center" wrapText="1"/>
    </xf>
    <xf numFmtId="0" fontId="2" fillId="22" borderId="30" applyAlignment="1" pivotButton="0" quotePrefix="0" xfId="0">
      <alignment horizontal="center" vertical="top" wrapText="1"/>
    </xf>
    <xf numFmtId="0" fontId="2" fillId="20" borderId="30" applyAlignment="1" pivotButton="0" quotePrefix="0" xfId="0">
      <alignment horizontal="center" vertical="top" wrapText="1"/>
    </xf>
    <xf numFmtId="3" fontId="39" fillId="0" borderId="0" applyAlignment="1" pivotButton="0" quotePrefix="0" xfId="0">
      <alignment horizontal="center" vertical="center" wrapText="1"/>
    </xf>
    <xf numFmtId="173" fontId="3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11" fillId="0" borderId="47" applyAlignment="1" pivotButton="0" quotePrefix="0" xfId="0">
      <alignment horizontal="center" vertical="bottom"/>
    </xf>
    <xf numFmtId="0" fontId="11" fillId="24" borderId="66" applyAlignment="1" pivotButton="0" quotePrefix="0" xfId="0">
      <alignment horizontal="center" vertical="bottom"/>
    </xf>
    <xf numFmtId="0" fontId="6" fillId="0" borderId="67" pivotButton="0" quotePrefix="0" xfId="0"/>
    <xf numFmtId="0" fontId="6" fillId="0" borderId="68" pivotButton="0" quotePrefix="0" xfId="0"/>
    <xf numFmtId="0" fontId="11" fillId="25" borderId="69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 wrapText="1"/>
    </xf>
    <xf numFmtId="0" fontId="3" fillId="26" borderId="57" applyAlignment="1" pivotButton="0" quotePrefix="0" xfId="0">
      <alignment vertical="bottom" wrapText="1"/>
    </xf>
    <xf numFmtId="0" fontId="3" fillId="26" borderId="47" applyAlignment="1" pivotButton="0" quotePrefix="0" xfId="0">
      <alignment vertical="bottom" wrapText="1"/>
    </xf>
    <xf numFmtId="0" fontId="6" fillId="0" borderId="70" pivotButton="0" quotePrefix="0" xfId="0"/>
    <xf numFmtId="0" fontId="3" fillId="26" borderId="1" applyAlignment="1" pivotButton="0" quotePrefix="0" xfId="0">
      <alignment vertical="bottom" wrapText="1"/>
    </xf>
    <xf numFmtId="0" fontId="3" fillId="26" borderId="71" applyAlignment="1" pivotButton="0" quotePrefix="0" xfId="0">
      <alignment vertical="bottom" wrapText="1"/>
    </xf>
    <xf numFmtId="0" fontId="3" fillId="26" borderId="58" applyAlignment="1" pivotButton="0" quotePrefix="0" xfId="0">
      <alignment vertical="bottom" wrapText="1"/>
    </xf>
    <xf numFmtId="0" fontId="2" fillId="24" borderId="72" applyAlignment="1" pivotButton="0" quotePrefix="0" xfId="0">
      <alignment horizontal="center" vertical="bottom" wrapText="1"/>
    </xf>
    <xf numFmtId="0" fontId="2" fillId="24" borderId="1" applyAlignment="1" pivotButton="0" quotePrefix="0" xfId="0">
      <alignment horizontal="center" vertical="bottom" wrapText="1"/>
    </xf>
    <xf numFmtId="0" fontId="2" fillId="24" borderId="73" applyAlignment="1" pivotButton="0" quotePrefix="0" xfId="0">
      <alignment horizontal="center" vertical="bottom" wrapText="1"/>
    </xf>
    <xf numFmtId="0" fontId="2" fillId="25" borderId="58" applyAlignment="1" pivotButton="0" quotePrefix="0" xfId="0">
      <alignment horizontal="center" vertical="bottom" wrapText="1"/>
    </xf>
    <xf numFmtId="0" fontId="2" fillId="25" borderId="73" applyAlignment="1" pivotButton="0" quotePrefix="0" xfId="0">
      <alignment horizontal="center" vertical="bottom" wrapText="1"/>
    </xf>
    <xf numFmtId="0" fontId="3" fillId="9" borderId="30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0" borderId="47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74" applyAlignment="1" pivotButton="0" quotePrefix="0" xfId="0">
      <alignment vertical="center" wrapText="1"/>
    </xf>
    <xf numFmtId="0" fontId="3" fillId="0" borderId="49" applyAlignment="1" pivotButton="0" quotePrefix="0" xfId="0">
      <alignment vertical="center" wrapText="1"/>
    </xf>
    <xf numFmtId="0" fontId="3" fillId="24" borderId="72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4" borderId="73" applyAlignment="1" pivotButton="0" quotePrefix="0" xfId="0">
      <alignment horizontal="center" vertical="center" wrapText="1"/>
    </xf>
    <xf numFmtId="0" fontId="3" fillId="25" borderId="58" applyAlignment="1" pivotButton="0" quotePrefix="0" xfId="0">
      <alignment vertical="center" wrapText="1"/>
    </xf>
    <xf numFmtId="0" fontId="3" fillId="25" borderId="73" applyAlignment="1" pivotButton="0" quotePrefix="0" xfId="0">
      <alignment vertical="center" wrapText="1"/>
    </xf>
    <xf numFmtId="0" fontId="3" fillId="9" borderId="7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73" applyAlignment="1" pivotButton="0" quotePrefix="0" xfId="0">
      <alignment horizontal="center" vertical="center" wrapText="1"/>
    </xf>
    <xf numFmtId="0" fontId="3" fillId="27" borderId="72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9" borderId="75" applyAlignment="1" pivotButton="0" quotePrefix="0" xfId="0">
      <alignment vertical="center" wrapText="1"/>
    </xf>
    <xf numFmtId="0" fontId="3" fillId="0" borderId="76" applyAlignment="1" pivotButton="0" quotePrefix="0" xfId="0">
      <alignment vertical="center" wrapText="1"/>
    </xf>
    <xf numFmtId="0" fontId="3" fillId="24" borderId="77" applyAlignment="1" pivotButton="0" quotePrefix="0" xfId="0">
      <alignment horizontal="center" vertical="center" wrapText="1"/>
    </xf>
    <xf numFmtId="0" fontId="3" fillId="24" borderId="78" applyAlignment="1" pivotButton="0" quotePrefix="0" xfId="0">
      <alignment horizontal="center" vertical="center" wrapText="1"/>
    </xf>
    <xf numFmtId="0" fontId="3" fillId="24" borderId="79" applyAlignment="1" pivotButton="0" quotePrefix="0" xfId="0">
      <alignment horizontal="center" vertical="center" wrapText="1"/>
    </xf>
    <xf numFmtId="0" fontId="3" fillId="25" borderId="80" applyAlignment="1" pivotButton="0" quotePrefix="0" xfId="0">
      <alignment vertical="center" wrapText="1"/>
    </xf>
    <xf numFmtId="0" fontId="3" fillId="25" borderId="79" applyAlignment="1" pivotButton="0" quotePrefix="0" xfId="0">
      <alignment vertical="center" wrapText="1"/>
    </xf>
    <xf numFmtId="0" fontId="41" fillId="0" borderId="0" applyAlignment="1" pivotButton="0" quotePrefix="0" xfId="0">
      <alignment horizontal="center" vertical="bottom"/>
    </xf>
    <xf numFmtId="0" fontId="11" fillId="25" borderId="66" applyAlignment="1" pivotButton="0" quotePrefix="0" xfId="0">
      <alignment horizontal="center" vertical="bottom"/>
    </xf>
    <xf numFmtId="0" fontId="2" fillId="24" borderId="81" applyAlignment="1" pivotButton="0" quotePrefix="0" xfId="0">
      <alignment horizontal="center" vertical="bottom" wrapText="1"/>
    </xf>
    <xf numFmtId="0" fontId="2" fillId="25" borderId="72" applyAlignment="1" pivotButton="0" quotePrefix="0" xfId="0">
      <alignment horizontal="center" vertical="bottom" wrapText="1"/>
    </xf>
    <xf numFmtId="0" fontId="3" fillId="9" borderId="30" applyAlignment="1" pivotButton="0" quotePrefix="0" xfId="0">
      <alignment horizontal="center" vertical="center" wrapText="1"/>
    </xf>
    <xf numFmtId="0" fontId="3" fillId="9" borderId="56" applyAlignment="1" pivotButton="0" quotePrefix="0" xfId="0">
      <alignment horizontal="center" vertical="center" wrapText="1"/>
    </xf>
    <xf numFmtId="0" fontId="3" fillId="25" borderId="72" applyAlignment="1" pivotButton="0" quotePrefix="0" xfId="0">
      <alignment vertical="center" wrapText="1"/>
    </xf>
    <xf numFmtId="0" fontId="3" fillId="24" borderId="58" applyAlignment="1" pivotButton="0" quotePrefix="0" xfId="0">
      <alignment horizontal="center" vertical="center" wrapText="1"/>
    </xf>
    <xf numFmtId="0" fontId="3" fillId="24" borderId="81" applyAlignment="1" pivotButton="0" quotePrefix="0" xfId="0">
      <alignment horizontal="center" vertical="center" wrapText="1"/>
    </xf>
    <xf numFmtId="0" fontId="3" fillId="24" borderId="82" applyAlignment="1" pivotButton="0" quotePrefix="0" xfId="0">
      <alignment horizontal="center" vertical="center" wrapText="1"/>
    </xf>
    <xf numFmtId="0" fontId="3" fillId="25" borderId="7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bottom"/>
    </xf>
    <xf numFmtId="0" fontId="2" fillId="26" borderId="30" applyAlignment="1" pivotButton="0" quotePrefix="0" xfId="0">
      <alignment horizontal="center" vertical="bottom" wrapText="1"/>
    </xf>
    <xf numFmtId="0" fontId="2" fillId="26" borderId="1" applyAlignment="1" pivotButton="0" quotePrefix="0" xfId="0">
      <alignment horizontal="center" vertical="bottom" wrapText="1"/>
    </xf>
    <xf numFmtId="0" fontId="3" fillId="9" borderId="30" applyAlignment="1" pivotButton="0" quotePrefix="0" xfId="0">
      <alignment vertical="bottom" wrapText="1"/>
    </xf>
    <xf numFmtId="0" fontId="3" fillId="9" borderId="1" applyAlignment="1" pivotButton="0" quotePrefix="0" xfId="0">
      <alignment vertical="bottom" wrapText="1"/>
    </xf>
    <xf numFmtId="0" fontId="3" fillId="0" borderId="1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3" fillId="24" borderId="72" applyAlignment="1" pivotButton="0" quotePrefix="0" xfId="0">
      <alignment vertical="center" wrapText="1"/>
    </xf>
    <xf numFmtId="0" fontId="3" fillId="24" borderId="81" applyAlignment="1" pivotButton="0" quotePrefix="0" xfId="0">
      <alignment vertical="center" wrapText="1"/>
    </xf>
    <xf numFmtId="0" fontId="3" fillId="24" borderId="73" applyAlignment="1" pivotButton="0" quotePrefix="0" xfId="0">
      <alignment vertical="center" wrapText="1"/>
    </xf>
    <xf numFmtId="0" fontId="3" fillId="24" borderId="83" applyAlignment="1" pivotButton="0" quotePrefix="0" xfId="0">
      <alignment horizontal="center" vertical="center" wrapText="1"/>
    </xf>
    <xf numFmtId="0" fontId="6" fillId="0" borderId="84" pivotButton="0" quotePrefix="0" xfId="0"/>
    <xf numFmtId="0" fontId="3" fillId="25" borderId="83" applyAlignment="1" pivotButton="0" quotePrefix="0" xfId="0">
      <alignment horizontal="center" vertical="center" wrapText="1"/>
    </xf>
    <xf numFmtId="0" fontId="3" fillId="24" borderId="85" applyAlignment="1" pivotButton="0" quotePrefix="0" xfId="0">
      <alignment vertical="center" wrapText="1"/>
    </xf>
    <xf numFmtId="0" fontId="6" fillId="0" borderId="86" pivotButton="0" quotePrefix="0" xfId="0"/>
    <xf numFmtId="0" fontId="6" fillId="0" borderId="87" pivotButton="0" quotePrefix="0" xfId="0"/>
    <xf numFmtId="0" fontId="3" fillId="25" borderId="85" applyAlignment="1" pivotButton="0" quotePrefix="0" xfId="0">
      <alignment vertical="center" wrapText="1"/>
    </xf>
    <xf numFmtId="0" fontId="11" fillId="0" borderId="64" applyAlignment="1" pivotButton="0" quotePrefix="0" xfId="0">
      <alignment horizontal="center" vertical="bottom"/>
    </xf>
    <xf numFmtId="0" fontId="3" fillId="0" borderId="88" applyAlignment="1" pivotButton="0" quotePrefix="0" xfId="0">
      <alignment vertical="bottom" wrapText="1"/>
    </xf>
    <xf numFmtId="0" fontId="3" fillId="9" borderId="89" applyAlignment="1" pivotButton="0" quotePrefix="0" xfId="0">
      <alignment horizontal="center" vertical="center" wrapText="1"/>
    </xf>
    <xf numFmtId="0" fontId="3" fillId="0" borderId="90" applyAlignment="1" pivotButton="0" quotePrefix="0" xfId="0">
      <alignment vertical="center"/>
    </xf>
    <xf numFmtId="0" fontId="3" fillId="0" borderId="48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62" applyAlignment="1" pivotButton="0" quotePrefix="0" xfId="0">
      <alignment vertical="center"/>
    </xf>
    <xf numFmtId="0" fontId="3" fillId="0" borderId="56" applyAlignment="1" pivotButton="0" quotePrefix="0" xfId="0">
      <alignment vertical="center" wrapText="1"/>
    </xf>
    <xf numFmtId="0" fontId="3" fillId="9" borderId="91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0" fontId="43" fillId="7" borderId="92" applyAlignment="1" pivotButton="0" quotePrefix="0" xfId="0">
      <alignment vertical="center" wrapText="1"/>
    </xf>
    <xf numFmtId="0" fontId="3" fillId="7" borderId="93" applyAlignment="1" pivotButton="0" quotePrefix="0" xfId="0">
      <alignment vertical="center"/>
    </xf>
    <xf numFmtId="0" fontId="43" fillId="28" borderId="92" applyAlignment="1" pivotButton="0" quotePrefix="0" xfId="0">
      <alignment vertical="center" wrapText="1"/>
    </xf>
    <xf numFmtId="0" fontId="43" fillId="28" borderId="94" applyAlignment="1" pivotButton="0" quotePrefix="0" xfId="0">
      <alignment vertical="center" wrapText="1"/>
    </xf>
    <xf numFmtId="0" fontId="43" fillId="7" borderId="93" applyAlignment="1" pivotButton="0" quotePrefix="0" xfId="0">
      <alignment vertical="center" wrapText="1"/>
    </xf>
    <xf numFmtId="0" fontId="3" fillId="28" borderId="94" applyAlignment="1" pivotButton="0" quotePrefix="0" xfId="0">
      <alignment vertical="center"/>
    </xf>
    <xf numFmtId="0" fontId="43" fillId="28" borderId="95" applyAlignment="1" pivotButton="0" quotePrefix="0" xfId="0">
      <alignment vertical="center" wrapText="1"/>
    </xf>
    <xf numFmtId="0" fontId="0" fillId="0" borderId="0" pivotButton="0" quotePrefix="0" xfId="0"/>
    <xf numFmtId="0" fontId="2" fillId="4" borderId="100" applyAlignment="1" pivotButton="0" quotePrefix="0" xfId="0">
      <alignment horizontal="center" vertical="bottom"/>
    </xf>
    <xf numFmtId="0" fontId="0" fillId="0" borderId="22" pivotButton="0" quotePrefix="0" xfId="0"/>
    <xf numFmtId="0" fontId="7" fillId="5" borderId="101" applyAlignment="1" pivotButton="0" quotePrefix="0" xfId="0">
      <alignment horizontal="center" vertical="center" wrapText="1"/>
    </xf>
    <xf numFmtId="0" fontId="7" fillId="5" borderId="104" applyAlignment="1" pivotButton="0" quotePrefix="0" xfId="0">
      <alignment horizontal="center" vertical="center" wrapText="1"/>
    </xf>
    <xf numFmtId="0" fontId="7" fillId="5" borderId="33" applyAlignment="1" pivotButton="0" quotePrefix="0" xfId="0">
      <alignment horizontal="center" vertical="center" wrapText="1"/>
    </xf>
    <xf numFmtId="0" fontId="7" fillId="5" borderId="9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03" pivotButton="0" quotePrefix="0" xfId="0"/>
    <xf numFmtId="0" fontId="0" fillId="0" borderId="12" pivotButton="0" quotePrefix="0" xfId="0"/>
    <xf numFmtId="0" fontId="0" fillId="0" borderId="105" pivotButton="0" quotePrefix="0" xfId="0"/>
    <xf numFmtId="0" fontId="8" fillId="6" borderId="32" applyAlignment="1" pivotButton="0" quotePrefix="0" xfId="0">
      <alignment horizontal="center" vertical="center"/>
    </xf>
    <xf numFmtId="0" fontId="0" fillId="0" borderId="18" pivotButton="0" quotePrefix="0" xfId="0"/>
    <xf numFmtId="0" fontId="8" fillId="6" borderId="99" applyAlignment="1" pivotButton="0" quotePrefix="0" xfId="0">
      <alignment horizontal="center" vertical="center"/>
    </xf>
    <xf numFmtId="0" fontId="0" fillId="0" borderId="35" pivotButton="0" quotePrefix="0" xfId="0"/>
    <xf numFmtId="0" fontId="11" fillId="9" borderId="30" applyAlignment="1" pivotButton="0" quotePrefix="0" xfId="0">
      <alignment vertical="top" wrapText="1"/>
    </xf>
    <xf numFmtId="0" fontId="13" fillId="1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13" fillId="11" borderId="1" applyAlignment="1" pivotButton="0" quotePrefix="0" xfId="0">
      <alignment horizontal="center" vertical="center"/>
    </xf>
    <xf numFmtId="0" fontId="14" fillId="13" borderId="30" applyAlignment="1" pivotButton="0" quotePrefix="0" xfId="0">
      <alignment horizontal="center" vertical="center"/>
    </xf>
    <xf numFmtId="0" fontId="16" fillId="13" borderId="30" applyAlignment="1" pivotButton="0" quotePrefix="0" xfId="0">
      <alignment horizontal="left" vertical="center"/>
    </xf>
    <xf numFmtId="0" fontId="22" fillId="16" borderId="30" applyAlignment="1" pivotButton="0" quotePrefix="0" xfId="0">
      <alignment horizontal="left" vertical="center" wrapText="1"/>
    </xf>
    <xf numFmtId="0" fontId="22" fillId="9" borderId="30" applyAlignment="1" pivotButton="0" quotePrefix="0" xfId="0">
      <alignment horizontal="left" vertical="center" wrapText="1"/>
    </xf>
    <xf numFmtId="165" fontId="26" fillId="15" borderId="30" applyAlignment="1" pivotButton="0" quotePrefix="0" xfId="0">
      <alignment horizontal="center" vertical="center"/>
    </xf>
    <xf numFmtId="0" fontId="16" fillId="18" borderId="30" applyAlignment="1" pivotButton="0" quotePrefix="0" xfId="0">
      <alignment horizontal="left" vertical="center"/>
    </xf>
    <xf numFmtId="0" fontId="28" fillId="9" borderId="30" applyAlignment="1" pivotButton="0" quotePrefix="0" xfId="0">
      <alignment horizontal="left" vertical="center" wrapText="1"/>
    </xf>
    <xf numFmtId="165" fontId="27" fillId="15" borderId="30" applyAlignment="1" pivotButton="0" quotePrefix="0" xfId="0">
      <alignment horizontal="center" vertical="center"/>
    </xf>
    <xf numFmtId="0" fontId="35" fillId="15" borderId="30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0" fillId="0" borderId="55" pivotButton="0" quotePrefix="0" xfId="0"/>
    <xf numFmtId="0" fontId="12" fillId="0" borderId="1" applyAlignment="1" pivotButton="0" quotePrefix="0" xfId="0">
      <alignment horizontal="left" vertical="top" wrapText="1"/>
    </xf>
    <xf numFmtId="171" fontId="3" fillId="21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0" fillId="0" borderId="59" pivotButton="0" quotePrefix="0" xfId="0"/>
    <xf numFmtId="0" fontId="2" fillId="22" borderId="1" applyAlignment="1" pivotButton="0" quotePrefix="0" xfId="0">
      <alignment horizontal="center" vertical="top" wrapText="1"/>
    </xf>
    <xf numFmtId="0" fontId="2" fillId="2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/>
    </xf>
    <xf numFmtId="0" fontId="37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62" pivotButton="0" quotePrefix="0" xfId="0"/>
    <xf numFmtId="0" fontId="0" fillId="0" borderId="63" pivotButton="0" quotePrefix="0" xfId="0"/>
    <xf numFmtId="0" fontId="37" fillId="0" borderId="1" applyAlignment="1" pivotButton="0" quotePrefix="0" xfId="0">
      <alignment horizontal="left" vertical="top" wrapText="1"/>
    </xf>
    <xf numFmtId="173" fontId="39" fillId="0" borderId="49" applyAlignment="1" pivotButton="0" quotePrefix="0" xfId="0">
      <alignment horizontal="center" vertical="center" wrapText="1"/>
    </xf>
    <xf numFmtId="0" fontId="40" fillId="0" borderId="56" applyAlignment="1" pivotButton="0" quotePrefix="0" xfId="0">
      <alignment horizontal="center" vertical="center" wrapText="1"/>
    </xf>
    <xf numFmtId="0" fontId="0" fillId="0" borderId="65" pivotButton="0" quotePrefix="0" xfId="0"/>
    <xf numFmtId="0" fontId="4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bottom"/>
    </xf>
    <xf numFmtId="0" fontId="11" fillId="24" borderId="106" applyAlignment="1" pivotButton="0" quotePrefix="0" xfId="0">
      <alignment horizontal="center" vertical="bottom"/>
    </xf>
    <xf numFmtId="0" fontId="0" fillId="0" borderId="67" pivotButton="0" quotePrefix="0" xfId="0"/>
    <xf numFmtId="0" fontId="0" fillId="0" borderId="68" pivotButton="0" quotePrefix="0" xfId="0"/>
    <xf numFmtId="0" fontId="11" fillId="25" borderId="109" applyAlignment="1" pivotButton="0" quotePrefix="0" xfId="0">
      <alignment horizontal="center" vertical="bottom"/>
    </xf>
    <xf numFmtId="0" fontId="11" fillId="25" borderId="106" applyAlignment="1" pivotButton="0" quotePrefix="0" xfId="0">
      <alignment horizontal="center" vertical="bottom"/>
    </xf>
    <xf numFmtId="0" fontId="3" fillId="24" borderId="110" applyAlignment="1" pivotButton="0" quotePrefix="0" xfId="0">
      <alignment horizontal="center" vertical="center" wrapText="1"/>
    </xf>
    <xf numFmtId="0" fontId="0" fillId="0" borderId="84" pivotButton="0" quotePrefix="0" xfId="0"/>
    <xf numFmtId="0" fontId="3" fillId="25" borderId="110" applyAlignment="1" pivotButton="0" quotePrefix="0" xfId="0">
      <alignment horizontal="center" vertical="center" wrapText="1"/>
    </xf>
    <xf numFmtId="0" fontId="3" fillId="24" borderId="112" applyAlignment="1" pivotButton="0" quotePrefix="0" xfId="0">
      <alignment vertical="center" wrapText="1"/>
    </xf>
    <xf numFmtId="0" fontId="0" fillId="0" borderId="86" pivotButton="0" quotePrefix="0" xfId="0"/>
    <xf numFmtId="0" fontId="0" fillId="0" borderId="87" pivotButton="0" quotePrefix="0" xfId="0"/>
    <xf numFmtId="0" fontId="3" fillId="25" borderId="112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757575"/>
                </a:solidFill>
                <a:latin typeface="Arial"/>
              </a:defRPr>
            </a:pPr>
            <a:r>
              <a:rPr sz="1800" b="1" i="0">
                <a:solidFill>
                  <a:srgbClr val="757575"/>
                </a:solidFill>
                <a:latin typeface="Arial"/>
              </a:rPr>
              <a:t>Success Criteria Scores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93C47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24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'Success Criteria'!$B$14:$B$15</f>
            </strRef>
          </cat>
          <val>
            <numRef>
              <f>'Success Criteria'!$C$14:$C$15</f>
              <numCache/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strRef>
              <f>'Success Criteria'!$B$14:$B$15</f>
            </strRef>
          </cat>
          <val>
            <numRef>
              <f>'Success Criteria'!$G$10:$G$11</f>
              <numCache/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strRef>
              <f>'Success Criteria'!$B$14:$B$15</f>
            </strRef>
          </cat>
          <val>
            <numRef>
              <f>'Success Criteria'!$H$10:$H$11</f>
              <numCache/>
            </numRef>
          </val>
        </ser>
        <gapWidth val="150"/>
        <axId val="2022117817"/>
        <axId val="131163894"/>
      </barChart>
      <catAx>
        <axId val="202211781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Arial"/>
                  </a:rPr>
                  <a:t>Criteria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0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131163894"/>
        <lblOffset val="100"/>
      </catAx>
      <valAx>
        <axId val="13116389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202211781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1A1A1A"/>
              </a:solidFill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B6" authorId="0" shapeId="0">
      <text>
        <t>======
ID#AAAB8WSE8no
Unknown Author    (2026-05-31 10:17:24)
M1-M3 arranque gradual. M4+ escala a 100t/mes. Break-even ~30-55t/mes.</t>
      </text>
    </comment>
    <comment ref="B7" authorId="0" shapeId="0">
      <text>
        <t>======
ID#AAAB8WSE8mw
Unknown Author    (2026-05-31 10:17:24)
Promedio ponderado mix: PET 25%+HDPE 25%+PP 20%+PEFilm 15%+Otros 15% ≈ $127/t. Conservador: $130.</t>
      </text>
    </comment>
    <comment ref="B8" authorId="0" shapeId="0">
      <text>
        <t>======
ID#AAAB8WSE8nc
Unknown Author    (2026-05-31 10:17:24)
Margen bruto implícito: $248-$130=$118/t. Referencia Polvillo Flake $300/t.</t>
      </text>
    </comment>
    <comment ref="B9" authorId="0" shapeId="0">
      <text>
        <t>======
ID#AAAB8WSE8og
Unknown Author    (2026-05-31 10:17:24)
Si proveedor paga el flete: poner 0. PlasHub paga: $10-15/t Lima Norte. ALERTA si &gt;$18/t.</t>
      </text>
    </comment>
    <comment ref="B10" authorId="0" shapeId="0">
      <text>
        <t>======
ID#AAAB8WSE8ok
Unknown Author    (2026-05-31 10:17:24)
M1-M3: 45 días. M10+: 30 días. Desfase consume caja aunque P&amp;L sea positivo.</t>
      </text>
    </comment>
    <comment ref="B14" authorId="0" shapeId="0">
      <text>
        <t>Renta subarrendamiento ~900m². Ref mercado: $3/m² sin IGV.
Subarrendamiento: 15-20% descuento = ~$2,700-6,000/mes. CRÍTICO: no firmar sin cerrar gap capital.
======</t>
      </text>
    </comment>
    <comment ref="B15" authorId="0" shapeId="0">
      <text>
        <t>M1-M2: Raúl puede cubrir este rol para bajar OPEX inicial.
3500 SOLES salario mensaula 3 a;os de exp
======</t>
      </text>
    </comment>
    <comment ref="B16" authorId="0" shapeId="0">
      <text>
        <t>Funciones: carga/descarga, clasificación, limpieza.
Salario 1650 soles mensual
======</t>
      </text>
    </comment>
    <comment ref="B17" authorId="0" shapeId="0">
      <text>
        <t>30-50 kWh/día. Con transpaletas eléctricas adicionales.
======</t>
      </text>
    </comment>
    <comment ref="B18" authorId="0" shapeId="0">
      <text>
        <t>Escalar a 24h cuando stock supere $15,000 en valor.
Wachiman - Mas cuotas de seguridad premium
======</t>
      </text>
    </comment>
    <comment ref="B19" authorId="0" shapeId="0">
      <text>
        <t>Calibración oficial báscula obligatoria para uso comercial en Perú.
2 calibraciones al a;o
======</t>
      </text>
    </comment>
    <comment ref="B20" authorId="0" shapeId="0">
      <text>
        <t>Obligatorio desde el primer mes. Régimen RMT: obligatorio para ventas proyectadas.
Contador interno 1500 soles
Contador externo 1000 soles
======</t>
      </text>
    </comment>
    <comment ref="B21" authorId="0" shapeId="0">
      <text>
        <t>EPP mensual: guantes, cascos, chalecos. + bolsas, etiquetas, útiles.
======</t>
      </text>
    </comment>
    <comment ref="B22" authorId="0" shapeId="0">
      <text>
        <t>Internet Lima Norte + planes móviles Site Manager.
120 soles mensuales
50 telefono
100 Internet
======</t>
      </text>
    </comment>
    <comment ref="B23" authorId="0" shapeId="0">
      <text>
        <t>Insumos, agua y costo de manteimiento del local
======</t>
      </text>
    </comment>
    <comment ref="C25" authorId="0" shapeId="0">
      <text>
        <t>Break-even (t/mes) = OPEX / (Precio venta - Precio compra - Flete).
Con $106/t y OPEX ~$9,100: break-even ≈ 86 t/mes.
======</t>
      </text>
    </comment>
    <comment ref="B29" authorId="0" shapeId="0">
      <text>
        <t>======
ID#AAAB8WSE8mI
Unknown Author    (2026-05-31 10:17:24)
Ingresos = Volumen × Precio venta. Criterio devengado (al despachar).</t>
      </text>
    </comment>
    <comment ref="B30" authorId="0" shapeId="0">
      <text>
        <t>======
ID#AAAB8WSE8lw
Unknown Author    (2026-05-31 10:17:24)
COGS = -(Volumen × Precio compra). Mayor costo variable del negocio.</t>
      </text>
    </comment>
    <comment ref="B31" authorId="0" shapeId="0">
      <text>
        <t>======
ID#AAAB8WSE8lU
Unknown Author    (2026-05-31 10:17:24)
Flete = -(Volumen × Flete/ton). Si proveedor paga: cambiar input flete a 0.</t>
      </text>
    </comment>
    <comment ref="B32" authorId="0" shapeId="0">
      <text>
        <t>======
ID#AAAB8WSE8mk
Unknown Author    (2026-05-31 10:17:24)
Margen Bruto = Ingresos - COGS - Flete. Objetivo: margen/ton &gt; $95/t.</t>
      </text>
    </comment>
    <comment ref="B34" authorId="0" shapeId="0">
      <text>
        <t>======
ID#AAAB8WSE8k8
Unknown Author    (2026-05-31 10:17:24)
OPEX fijo = celda C24 (sección B). Fijo e independiente del volumen.</t>
      </text>
    </comment>
    <comment ref="B35" authorId="0" shapeId="0">
      <text>
        <t>======
ID#AAAB8WSE8mM
Unknown Author    (2026-05-31 10:17:24)
EBITDA = Margen Bruto + OPEX (OPEX negativo).
Positivo = genera caja. Negativo = consume capital inicial.</t>
      </text>
    </comment>
    <comment ref="B36" authorId="0" shapeId="0">
      <text>
        <t>======
ID#AAAB8WSE8oI
Unknown Author    (2026-05-31 10:17:24)
Cuando cruza de negativo a positivo = break-even acumulado (sin contar CAPEX).</t>
      </text>
    </comment>
    <comment ref="B37" authorId="0" shapeId="0">
      <text>
        <t>======
ID#AAAB8WSE8nw
Unknown Author    (2026-05-31 10:17:24)
EBITDA / Volumen. Objetivo Stage 1: &gt; $20/t neto.</t>
      </text>
    </comment>
    <comment ref="C38" authorId="0" shapeId="0">
      <text>
        <t>======
ID#AAAB8WSE8lo
Unknown Author    (2026-05-31 10:17:24)
Break-even = OPEX / Margen bruto por tonelada. Con $106/t y OPEX $9,100: ≈ 86 t/mes.</t>
      </text>
    </comment>
    <comment ref="B42" authorId="0" shapeId="0">
      <text>
        <t>======
ID#AAAB8WSE8o8
Unknown Author    (2026-05-31 10:17:24)
Link al CAPEX del Project Profile. Se actualiza automáticamente.</t>
      </text>
    </comment>
    <comment ref="B43" authorId="0" shapeId="0">
      <text>
        <t>======
ID#AAAB8WSE8oQ
Unknown Author    (2026-05-31 10:17:24)
Link al capital disponible. Alex $15K + Raúl $5K (desde ago-2026).</t>
      </text>
    </comment>
    <comment ref="B44" authorId="0" shapeId="0">
      <text>
        <t>======
ID#AAAB8WSE8lY
Unknown Author    (2026-05-31 10:17:24)
Gap = Capital - CAPEX. Negativo = falta financiamiento. Ver opciones en Project Profile.</t>
      </text>
    </comment>
    <comment ref="B45" authorId="0" shapeId="0">
      <text>
        <t>======
ID#AAAB8WSE8lE
Unknown Author    (2026-05-31 10:17:24)
Suma EBITDA 12 meses. Positivo = el año generó caja operativa.</t>
      </text>
    </comment>
    <comment ref="D49" authorId="0" shapeId="0">
      <text>
        <t>======
ID#AAAB8WSE8ko
Unknown Author    (2026-05-31 10:17:24)
Precio compra Lima 2026 — PET post-consumer. Fuente: referencia mercado Perú.</t>
      </text>
    </comment>
    <comment ref="D50" authorId="0" shapeId="0">
      <text>
        <t>======
ID#AAAB8WSE8kk
Unknown Author    (2026-05-31 10:17:24)
Precio compra Lima 2026 — HDPE industrial. Fuente: referencia mercado Perú.</t>
      </text>
    </comment>
    <comment ref="D51" authorId="0" shapeId="0">
      <text>
        <t>======
ID#AAAB8WSE8nY
Unknown Author    (2026-05-31 10:17:24)
Precio compra Lima 2026 — PP post-industrial. Fuente: referencia mercado Perú.</t>
      </text>
    </comment>
    <comment ref="D52" authorId="0" shapeId="0">
      <text>
        <t>======
ID#AAAB8WSE8n8
Unknown Author    (2026-05-31 10:17:24)
Precio compra Lima 2026 — PE Film. Fuente: referencia mercado Perú.</t>
      </text>
    </comment>
    <comment ref="D53" authorId="0" shapeId="0">
      <text>
        <t>======
ID#AAAB8WSE8l8
Unknown Author    (2026-05-31 10:17:24)
Precio compra Lima 2026 — Polvillo de Flake. Fuente: referencia mercado Perú.</t>
      </text>
    </comment>
    <comment ref="D54" authorId="0" shapeId="0">
      <text>
        <t>======
ID#AAAB8WSE8kw
Unknown Author    (2026-05-31 10:17:24)
Precio compra Lima 2026 — ABS / PS. Fuente: referencia mercado Perú.</t>
      </text>
    </comment>
    <comment ref="D55" authorId="0" shapeId="0">
      <text>
        <t>======
ID#AAAB8WSE8mQ
Unknown Author    (2026-05-31 10:17:24)
Precio compra Lima 2026 — Nylon / PA. Fuente: referencia mercado Perú.</t>
      </text>
    </comment>
    <comment ref="I56" authorId="0" shapeId="0">
      <text>
        <t>======
ID#AAAB8WSE8m8
Unknown Author    (2026-05-31 10:17:24)
Margen bruto ponderado por tonelada según mix.
Este número es el margen referencia para el P&amp;L.
Actualiza columna H (mix%) para sensibilizar.</t>
      </text>
    </comment>
    <comment ref="G60" authorId="0" shapeId="0">
      <text>
        <t>======
ID#AAAB8WSE8nE
Unknown Author    (2026-05-31 10:17:24)
Caja M3 = -(CAPEX) + 3×EBITDA_M1-3. Negativo = necesita inyección antes del mes 4.</t>
      </text>
    </comment>
    <comment ref="G61" authorId="0" shapeId="0">
      <text>
        <t>======
ID#AAAB8WSE8kQ
Unknown Author    (2026-05-31 10:17:23)
Caja M3 = -(CAPEX) + 3×EBITDA_M1-3. Negativo = necesita inyección antes del mes 4.</t>
      </text>
    </comment>
    <comment ref="G62" authorId="0" shapeId="0">
      <text>
        <t>======
ID#AAAB8WSE8kY
Unknown Author    (2026-05-31 10:17:23)
Caja M3 = -(CAPEX) + 3×EBITDA_M1-3. Negativo = necesita inyección antes del mes 4.</t>
      </text>
    </comment>
    <comment ref="G63" authorId="0" shapeId="0">
      <text>
        <t>======
ID#AAAB8WSE8kU
Unknown Author    (2026-05-31 10:17:23)
Caja M3 = -(CAPEX) + 3×EBITDA_M1-3. Negativo = necesita inyección antes del mes 4.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6" authorId="0" shapeId="0">
      <text>
        <t>======
ID#AAAB8WSE8os
Unknown Author    (2026-05-31 10:17:24)
Link automático desde hoja Supuestos &amp; PL. Modificar inputs allá para actualizar aquí.</t>
      </text>
    </comment>
    <comment ref="B7" authorId="0" shapeId="0">
      <text>
        <t>======
ID#AAAB8WSE8l0
Unknown Author    (2026-05-31 10:17:24)
Link automático desde hoja Supuestos &amp; PL. Modificar inputs allá para actualizar aquí.</t>
      </text>
    </comment>
    <comment ref="B8" authorId="0" shapeId="0">
      <text>
        <t>======
ID#AAAB8WSE8ns
Unknown Author    (2026-05-31 10:17:24)
Link automático desde hoja Supuestos &amp; PL. Modificar inputs allá para actualizar aquí.</t>
      </text>
    </comment>
    <comment ref="B9" authorId="0" shapeId="0">
      <text>
        <t>======
ID#AAAB8WSE8nU
Unknown Author    (2026-05-31 10:17:24)
Link automático desde hoja Supuestos &amp; PL. Modificar inputs allá para actualizar aquí.</t>
      </text>
    </comment>
    <comment ref="B13" authorId="0" shapeId="0">
      <text>
        <t>======
ID#AAAB8WSE8k0
Unknown Author    (2026-05-31 10:17:24)
Si ciclo &gt; 30 días: cobro llega 1 mes tarde. M1 con ciclo 45d: cobra $0 (ingreso M1 llega en M2).</t>
      </text>
    </comment>
    <comment ref="B14" authorId="0" shapeId="0">
      <text>
        <t>======
ID#AAAB8WSE8kI
Unknown Author    (2026-05-31 10:17:23)
Pagos al recibir material (contado o crédito 7-15 días).
= -(Volumen × (Precio compra + Flete))</t>
      </text>
    </comment>
    <comment ref="B16" authorId="0" shapeId="0">
      <text>
        <t>======
ID#AAAB8WSE8oA
Unknown Author    (2026-05-31 10:17:24)
CAPEX desembolsado antes de arrancar. Mostrado en M1 como saldo inicial negativo.</t>
      </text>
    </comment>
    <comment ref="B17" authorId="0" shapeId="0">
      <text>
        <t>======
ID#AAAB8WSE8kc
Unknown Author    (2026-05-31 10:17:23)
Cobros efectivos + Pagos proveedores + Pagos OPEX.
Positivo = negocio genera liquidez ese mes.</t>
      </text>
    </comment>
    <comment ref="B18" authorId="0" shapeId="0">
      <text>
        <t>======
ID#AAAB8WSE8o4
Unknown Author    (2026-05-31 10:17:24)
CAPEX inicial + suma flujos netos. Cuando cruza a positivo = inversión recuperada.</t>
      </text>
    </comment>
    <comment ref="B22" authorId="0" shapeId="0">
      <text>
        <t>======
ID#AAAB8WSE8mA
Unknown Author    (2026-05-31 10:17:24)
Si más negativa que capital disponible ($22K): riesgo de insolvencia.</t>
      </text>
    </comment>
    <comment ref="B23" authorId="0" shapeId="0">
      <text>
        <t>======
ID#AAAB8WSE8oE
Unknown Author    (2026-05-31 10:17:24)
Mes más crítico para la liquidez. Preparar colchón adicional ese mes.</t>
      </text>
    </comment>
    <comment ref="B24" authorId="0" shapeId="0">
      <text>
        <t>======
ID#AAAB8WSE8oo
Unknown Author    (2026-05-31 10:17:24)
Positivo = empresa auto-sostenible al cierre del año 1.</t>
      </text>
    </comment>
    <comment ref="B25" authorId="0" shapeId="0">
      <text>
        <t>======
ID#AAAB8WSE8l4
Unknown Author    (2026-05-31 10:17:24)
Primer mes en que genera más caja de la que consume.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5" authorId="0" shapeId="0">
      <text>
        <t>======
ID#AAAB8WSE8lM
Unknown Author    (2026-05-31 10:17:24)
Costo semanal = OPEX mensual / 4.3 semanas.</t>
      </text>
    </comment>
    <comment ref="B6" authorId="0" shapeId="0">
      <text>
        <t>======
ID#AAAB8WSE8mo
Unknown Author    (2026-05-31 10:17:24)
Calcular por cada tipo de material despachado.</t>
      </text>
    </comment>
    <comment ref="B7" authorId="0" shapeId="0">
      <text>
        <t>======
ID#AAAB8WSE8n0
Unknown Author    (2026-05-31 10:17:24)
Material &gt; 45 días = dinero inmovilizado. KPI crítico para rotación de capital.</t>
      </text>
    </comment>
    <comment ref="B8" authorId="0" shapeId="0">
      <text>
        <t>======
ID#AAAB8WSE8mU
Unknown Author    (2026-05-31 10:17:24)
Indicador más crítico Stage 1. Actualizar con extracto bancario semanal.</t>
      </text>
    </comment>
    <comment ref="B9" authorId="0" shapeId="0">
      <text>
        <t>======
ID#AAAB8WSE8kM
Unknown Author    (2026-05-31 10:17:23)
Mayor costo variable. Cada $1 extra/ton = $25-40/mes adicional a 40 t/mes.</t>
      </text>
    </comment>
    <comment ref="B10" authorId="0" shapeId="0">
      <text>
        <t>======
ID#AAAB8WSE8m0
Unknown Author    (2026-05-31 10:17:24)
Objetivo: cerrar 1 contenedor cada 2-3 semanas. Ciclo largo = capital inmovilizado.</t>
      </text>
    </comment>
    <comment ref="B11" authorId="0" shapeId="0">
      <text>
        <t>======
ID#AAAB8WSE8ow
Unknown Author    (2026-05-31 10:17:24)
KPI estratégico. Si Alex no entrega, el modelo colapsa.</t>
      </text>
    </comment>
    <comment ref="B12" authorId="0" shapeId="0">
      <text>
        <t>======
ID#AAAB8WSE8nI
Unknown Author    (2026-05-31 10:17:24)
Rechazo &gt; 10% = pérdida directa de margen + daño a relación con cliente.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B18" authorId="0" shapeId="0">
      <text>
        <t>======
ID#AAAB8WSE8k4
Unknown Author    (2026-05-31 10:17:24)
Alex aporta $15K + flujo comercial. Raúl aporta operación y gestión del proyecto.
Formalizar en Estatuto SAC ante SUNARP. Registrar antes de primera operación.</t>
      </text>
    </comment>
    <comment ref="B19" authorId="0" shapeId="0">
      <text>
        <t>======
ID#AAAB8WSE8kg
Unknown Author    (2026-05-31 10:17:23)
No pagar salario antes de EBITDA positivo. Considera anticipo reembolsable.
Incluir en pacto de socios: condición inicio salario.</t>
      </text>
    </comment>
    <comment ref="B20" authorId="0" shapeId="0">
      <text>
        <t>======
ID#AAAB8WSE8ls
Unknown Author    (2026-05-31 10:17:24)
Alex → PlasHub: precio de mercado. NUNCA precio artificial.
🔴 RIESGO FISCAL: SUNAT ajusta precios entre partes vinculadas. Documentar con facturas de mercado.</t>
      </text>
    </comment>
    <comment ref="B21" authorId="0" shapeId="0">
      <text>
        <t>======
ID#AAAB8WSE8ms
Unknown Author    (2026-05-31 10:17:24)
No distribuir hasta EBITDA acumulado &gt; CAPEX invertido.
Formalizar en pacto de socios: reserva 30% utilidades para reinversión.</t>
      </text>
    </comment>
    <comment ref="B22" authorId="0" shapeId="0">
      <text>
        <t>======
ID#AAAB8WSE8oU
Unknown Author    (2026-05-31 10:17:24)
Ventas año 1: $300-500K &gt;&gt; límite RER (~$140K). RMT obligatorio.
🔴 ACCIÓN INMEDIATA: verificar régimen en SUNAT. Cambiar a RMT ANTES de primera venta.</t>
      </text>
    </comment>
    <comment ref="B23" authorId="0" shapeId="0">
      <text>
        <t>======
ID#AAAB8WSE8mc
Unknown Author    (2026-05-31 10:17:24)
Equity, política dividendos, precio transferencia, resolución conflictos.
Costo: S/500-1,000 (notaría) + S/1,500-3,000 (abogado). Firmar antes de primera operación.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F25" authorId="0" shapeId="0">
      <text>
        <t>S/3,000-5,000 Lima 2026. OBLIGATORIO antes de operar. 60-90 días proceso.
______________
4200 asesor
530 pago a sunat
3000 licencia de exportacion
Total 7730 soles= 2300 USD
======</t>
      </text>
    </comment>
    <comment ref="F26" authorId="0" shapeId="0">
      <text>
        <t>MOU socios + Licencia de Funcionamiento. Mínimo viable para Stage 1.
======</t>
      </text>
    </comment>
    <comment ref="F27" authorId="0" shapeId="0">
      <text>
        <t>Boky lo va a hacer
======</t>
      </text>
    </comment>
    <comment ref="F28" authorId="0" shapeId="0">
      <text>
        <t>Regimen Mype Tributario activo
Contador 1500x3
======</t>
      </text>
    </comment>
    <comment ref="F29" authorId="0" shapeId="0">
      <text>
        <t>3*900*3
Precio 3 usd/m2, Mes de alquiler + 2 meses de deposito
======</t>
      </text>
    </comment>
    <comment ref="F30" authorId="0" shapeId="0">
      <text>
        <t>======
ID#AAAB8WSE8nA
Unknown Author    (2026-05-31 10:17:24)
Pintura piso, señales seguridad, luminarias adicionales, extintores.</t>
      </text>
    </comment>
    <comment ref="F31" authorId="0" shapeId="0">
      <text>
        <t>Báscula $1,200 + Transpaletas ×2 $400 + EPP $400 + Herramientas $300.
======</t>
      </text>
    </comment>
    <comment ref="F32" authorId="0" shapeId="0">
      <text>
        <t>Consideramos costo de compra y venta, separado de la nave. 
Sin este buffer la empresa queda sin liquidez aunque el P&amp;L sea positivo.
======</t>
      </text>
    </comment>
    <comment ref="F33" authorId="0" shapeId="0">
      <text>
        <t>======
ID#AAAB8WSE8oM
Unknown Author    (2026-05-31 10:17:24)
TOTAL CAPEX Stage 1 realista. Comparar con F34 (capital disponible) para ver el gap.</t>
      </text>
    </comment>
    <comment ref="F34" authorId="0" shapeId="0">
      <text>
        <t>======
ID#AAAB8WSE8mY
Unknown Author    (2026-05-31 10:17:24)
Alex: ~$15,000 disponibles ahora.
Raúl: ~$5,000 disponibles desde agosto 2026.
Total: $22,000. Límite HARD del modelo.</t>
      </text>
    </comment>
    <comment ref="F35" authorId="0" shapeId="0">
      <text>
        <t>======
ID#AAAB8WSE8nM
Si negativo, opciones para cerrar el gap    (2026-05-31 10:17:24)
1. Subarrendamiento (ahorra $10-13K)
2. Préstamo Alex→Neo Amaru (mutuo notarial)
3. Negociación depósito a 1 mes
4. Crédito MYPE Scotiabank (~60 días)
5. Tercer socio capitalista (20-25% equity)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180975</colOff>
      <row>13</row>
      <rowOff>0</rowOff>
    </from>
    <ext cx="69723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yperionrobotics.atlassian.net/wiki/spaces/UKMOVE/pages/1260519638/UKMV+-+Project+Plan+draft+not+ready" TargetMode="External" Id="rId1"/><Relationship Type="http://schemas.openxmlformats.org/officeDocument/2006/relationships/hyperlink" Target="https://hyperionrobotics.atlassian.net/wiki/spaces/UKMOVE/pages/1260519638/UKMV+-+Project+Plan+draft+not+ready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00"/>
  <sheetViews>
    <sheetView workbookViewId="0">
      <selection activeCell="A1" sqref="A1"/>
    </sheetView>
  </sheetViews>
  <sheetFormatPr baseColWidth="8" defaultColWidth="12.63" defaultRowHeight="15" customHeight="1"/>
  <cols>
    <col width="3.13" customWidth="1" style="360" min="1" max="1"/>
    <col width="35.13" customWidth="1" style="360" min="2" max="2"/>
    <col width="51.25" customWidth="1" style="360" min="3" max="3"/>
    <col width="12.25" customWidth="1" style="360" min="4" max="5"/>
    <col width="16" customWidth="1" style="360" min="6" max="7"/>
    <col width="27.75" customWidth="1" style="360" min="8" max="8"/>
    <col width="17.25" customWidth="1" style="360" min="9" max="9"/>
    <col width="12.25" customWidth="1" style="360" min="10" max="10"/>
    <col width="10.25" customWidth="1" style="360" min="11" max="12"/>
    <col hidden="1" width="10.25" customWidth="1" style="360" min="13" max="17"/>
    <col hidden="1" width="10.38" customWidth="1" style="360" min="18" max="18"/>
  </cols>
  <sheetData>
    <row r="1" ht="17.25" customHeight="1" s="360">
      <c r="A1" s="1" t="n"/>
      <c r="B1" s="2" t="inlineStr">
        <is>
          <t>Color</t>
        </is>
      </c>
      <c r="C1" s="3" t="inlineStr">
        <is>
          <t>Meaning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5.75" customHeight="1" s="360">
      <c r="A2" s="4" t="n"/>
      <c r="B2" s="5" t="n"/>
      <c r="C2" s="3" t="inlineStr">
        <is>
          <t>Milestones</t>
        </is>
      </c>
      <c r="D2" s="4" t="n"/>
      <c r="E2" s="4" t="n"/>
      <c r="F2" s="4" t="n"/>
      <c r="G2" s="4" t="n"/>
      <c r="H2" s="4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15.75" customHeight="1" s="360">
      <c r="A3" s="4" t="n"/>
      <c r="B3" s="7" t="n"/>
      <c r="C3" s="3" t="inlineStr">
        <is>
          <t>A project with multiple stakeholders</t>
        </is>
      </c>
      <c r="D3" s="4" t="n"/>
      <c r="E3" s="4" t="n"/>
      <c r="F3" s="4" t="n"/>
      <c r="G3" s="4" t="n"/>
      <c r="H3" s="4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15.75" customHeight="1" s="360">
      <c r="A4" s="4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15.75" customHeight="1" s="360">
      <c r="A5" s="361" t="n"/>
      <c r="H5" s="362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15.75" customHeight="1" s="360">
      <c r="A6" s="363" t="inlineStr">
        <is>
          <t>#</t>
        </is>
      </c>
      <c r="B6" s="364" t="inlineStr">
        <is>
          <t>Name of the document</t>
        </is>
      </c>
      <c r="C6" s="363" t="inlineStr">
        <is>
          <t>Purpose</t>
        </is>
      </c>
      <c r="D6" s="365" t="inlineStr">
        <is>
          <t>Deadline</t>
        </is>
      </c>
      <c r="E6" s="365" t="inlineStr">
        <is>
          <t>Status</t>
        </is>
      </c>
      <c r="F6" s="366" t="inlineStr">
        <is>
          <t>Stakeholders</t>
        </is>
      </c>
      <c r="G6" s="367" t="n"/>
      <c r="H6" s="368" t="n"/>
      <c r="I6" s="6" t="n"/>
      <c r="J6" s="6" t="n"/>
      <c r="K6" s="6" t="n"/>
      <c r="L6" s="6" t="n"/>
      <c r="M6" s="6" t="inlineStr">
        <is>
          <t>R3</t>
        </is>
      </c>
      <c r="N6" s="6" t="n"/>
      <c r="O6" s="6" t="inlineStr">
        <is>
          <t>R4</t>
        </is>
      </c>
      <c r="P6" s="6" t="n"/>
      <c r="Q6" s="6" t="inlineStr">
        <is>
          <t>R5</t>
        </is>
      </c>
      <c r="R6" s="6" t="n"/>
    </row>
    <row r="7" ht="15.75" customHeight="1" s="360">
      <c r="A7" s="369" t="n"/>
      <c r="B7" s="370" t="n"/>
      <c r="C7" s="369" t="n"/>
      <c r="D7" s="371" t="n"/>
      <c r="E7" s="371" t="n"/>
      <c r="F7" s="20" t="inlineStr">
        <is>
          <t>Responsible</t>
        </is>
      </c>
      <c r="G7" s="21" t="inlineStr">
        <is>
          <t>Reviewed by</t>
        </is>
      </c>
      <c r="H7" s="22" t="inlineStr">
        <is>
          <t>Users List 
(check note for full names)</t>
        </is>
      </c>
      <c r="I7" s="6" t="n"/>
      <c r="J7" s="6" t="n"/>
      <c r="K7" s="6" t="n"/>
      <c r="L7" s="6" t="n"/>
      <c r="M7" s="6" t="inlineStr">
        <is>
          <t>Date</t>
        </is>
      </c>
      <c r="N7" s="6" t="inlineStr">
        <is>
          <t>Changes</t>
        </is>
      </c>
      <c r="O7" s="6" t="inlineStr">
        <is>
          <t>Date</t>
        </is>
      </c>
      <c r="P7" s="6" t="inlineStr">
        <is>
          <t>Changes</t>
        </is>
      </c>
      <c r="Q7" s="6" t="inlineStr">
        <is>
          <t>Date</t>
        </is>
      </c>
      <c r="R7" s="6" t="inlineStr">
        <is>
          <t>Changes</t>
        </is>
      </c>
    </row>
    <row r="8" ht="15.75" customHeight="1" s="360">
      <c r="A8" s="372" t="inlineStr">
        <is>
          <t>Stage 1: Market Entry &amp; Partnerships</t>
        </is>
      </c>
      <c r="B8" s="373" t="n"/>
      <c r="C8" s="373" t="n"/>
      <c r="D8" s="373" t="n"/>
      <c r="E8" s="373" t="n"/>
      <c r="F8" s="373" t="n"/>
      <c r="G8" s="373" t="n"/>
      <c r="H8" s="373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15.75" customHeight="1" s="360">
      <c r="A9" s="26" t="n">
        <v>1</v>
      </c>
      <c r="B9" s="27" t="n"/>
      <c r="C9" s="28" t="n"/>
      <c r="D9" s="29" t="n"/>
      <c r="E9" s="6" t="inlineStr">
        <is>
          <t>Completed</t>
        </is>
      </c>
      <c r="F9" s="30" t="n"/>
      <c r="G9" s="30" t="n"/>
      <c r="H9" s="31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15.75" customHeight="1" s="360">
      <c r="A10" s="26" t="n">
        <v>2</v>
      </c>
      <c r="B10" s="27" t="n"/>
      <c r="C10" s="28" t="n"/>
      <c r="D10" s="29" t="n"/>
      <c r="E10" s="6" t="inlineStr">
        <is>
          <t>Completed</t>
        </is>
      </c>
      <c r="F10" s="32" t="n"/>
      <c r="G10" s="32" t="n"/>
      <c r="H10" s="31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15.75" customHeight="1" s="360">
      <c r="A11" s="26" t="n">
        <v>3</v>
      </c>
      <c r="B11" s="27" t="n"/>
      <c r="C11" s="29" t="n"/>
      <c r="D11" s="29" t="n"/>
      <c r="E11" s="6" t="inlineStr">
        <is>
          <t>Cancelled</t>
        </is>
      </c>
      <c r="F11" s="32" t="n"/>
      <c r="G11" s="32" t="n"/>
      <c r="H11" s="31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ht="15.75" customHeight="1" s="360">
      <c r="A12" s="26" t="n">
        <v>4</v>
      </c>
      <c r="B12" s="27" t="n"/>
      <c r="C12" s="29" t="n"/>
      <c r="D12" s="29" t="n"/>
      <c r="E12" s="6" t="inlineStr">
        <is>
          <t>Completed</t>
        </is>
      </c>
      <c r="F12" s="32" t="n"/>
      <c r="G12" s="32" t="n"/>
      <c r="H12" s="31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15.75" customHeight="1" s="360">
      <c r="A13" s="26" t="n">
        <v>5</v>
      </c>
      <c r="B13" s="33" t="n"/>
      <c r="C13" s="29" t="n"/>
      <c r="D13" s="29" t="n"/>
      <c r="E13" s="6" t="inlineStr">
        <is>
          <t>Completed</t>
        </is>
      </c>
      <c r="F13" s="32" t="n"/>
      <c r="G13" s="32" t="n"/>
      <c r="H13" s="31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ht="15.75" customHeight="1" s="360">
      <c r="A14" s="26" t="n">
        <v>6</v>
      </c>
      <c r="B14" s="27" t="n"/>
      <c r="C14" s="34" t="n"/>
      <c r="D14" s="29" t="n"/>
      <c r="E14" s="6" t="inlineStr">
        <is>
          <t>Completed</t>
        </is>
      </c>
      <c r="F14" s="35" t="n"/>
      <c r="G14" s="35" t="n"/>
      <c r="H14" s="31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15.75" customHeight="1" s="360">
      <c r="A15" s="26" t="n">
        <v>7</v>
      </c>
      <c r="B15" s="36" t="n"/>
      <c r="C15" s="33" t="n"/>
      <c r="D15" s="29" t="n"/>
      <c r="E15" s="6" t="inlineStr">
        <is>
          <t>Cancelled</t>
        </is>
      </c>
      <c r="F15" s="32" t="n"/>
      <c r="G15" s="32" t="n"/>
      <c r="H15" s="31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 ht="15.75" customHeight="1" s="360">
      <c r="A16" s="26" t="n">
        <v>8</v>
      </c>
      <c r="B16" s="37" t="n"/>
      <c r="C16" s="28" t="n"/>
      <c r="D16" s="29" t="n"/>
      <c r="E16" s="6" t="inlineStr">
        <is>
          <t>In progress</t>
        </is>
      </c>
      <c r="F16" s="32" t="n"/>
      <c r="G16" s="32" t="n"/>
      <c r="H16" s="31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15.75" customHeight="1" s="360">
      <c r="A17" s="26" t="n">
        <v>9</v>
      </c>
      <c r="B17" s="37" t="n"/>
      <c r="C17" s="28" t="n"/>
      <c r="D17" s="29" t="n"/>
      <c r="E17" s="6" t="inlineStr">
        <is>
          <t>Completed</t>
        </is>
      </c>
      <c r="F17" s="32" t="n"/>
      <c r="G17" s="32" t="n"/>
      <c r="H17" s="31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 ht="15.75" customHeight="1" s="360">
      <c r="A18" s="26" t="n">
        <v>10</v>
      </c>
      <c r="B18" s="38" t="n"/>
      <c r="C18" s="39" t="n"/>
      <c r="D18" s="29" t="n"/>
      <c r="E18" s="40" t="inlineStr">
        <is>
          <t>Completed</t>
        </is>
      </c>
      <c r="F18" s="32" t="n"/>
      <c r="G18" s="32" t="n"/>
      <c r="H18" s="41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15.75" customHeight="1" s="360">
      <c r="A19" s="26" t="n">
        <v>11</v>
      </c>
      <c r="B19" s="42" t="n"/>
      <c r="C19" s="29" t="n"/>
      <c r="D19" s="29" t="n"/>
      <c r="E19" s="43" t="inlineStr">
        <is>
          <t>Completed</t>
        </is>
      </c>
      <c r="F19" s="32" t="n"/>
      <c r="G19" s="32" t="n"/>
      <c r="H19" s="44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15.75" customHeight="1" s="360">
      <c r="A20" s="26" t="n">
        <v>12</v>
      </c>
      <c r="B20" s="45" t="n"/>
      <c r="C20" s="46" t="n"/>
      <c r="D20" s="29" t="n"/>
      <c r="E20" s="43" t="inlineStr">
        <is>
          <t>In progress</t>
        </is>
      </c>
      <c r="F20" s="32" t="n"/>
      <c r="G20" s="32" t="n"/>
      <c r="H20" s="44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15.75" customHeight="1" s="360">
      <c r="A21" s="26" t="n">
        <v>13</v>
      </c>
      <c r="B21" s="33" t="n"/>
      <c r="C21" s="29" t="n"/>
      <c r="D21" s="29" t="n"/>
      <c r="E21" s="43" t="inlineStr">
        <is>
          <t>Not started</t>
        </is>
      </c>
      <c r="F21" s="32" t="n"/>
      <c r="G21" s="32" t="n"/>
      <c r="H21" s="44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15.75" customHeight="1" s="360">
      <c r="A22" s="26" t="n">
        <v>14</v>
      </c>
      <c r="B22" s="37" t="n"/>
      <c r="C22" s="39" t="n"/>
      <c r="D22" s="29" t="n"/>
      <c r="E22" s="6" t="inlineStr">
        <is>
          <t>Completed</t>
        </is>
      </c>
      <c r="F22" s="32" t="n"/>
      <c r="G22" s="32" t="n"/>
      <c r="H22" s="31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16.5" customHeight="1" s="360">
      <c r="A23" s="47" t="n">
        <v>15</v>
      </c>
      <c r="B23" s="27" t="n"/>
      <c r="C23" s="34" t="n"/>
      <c r="D23" s="29" t="n"/>
      <c r="E23" s="6" t="inlineStr">
        <is>
          <t>Not started</t>
        </is>
      </c>
      <c r="F23" s="32" t="n"/>
      <c r="G23" s="32" t="n"/>
      <c r="H23" s="41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16.5" customHeight="1" s="360">
      <c r="A24" s="47" t="n">
        <v>16</v>
      </c>
      <c r="B24" s="42" t="n"/>
      <c r="C24" s="29" t="n"/>
      <c r="D24" s="29" t="n"/>
      <c r="E24" s="43" t="inlineStr">
        <is>
          <t>In progress</t>
        </is>
      </c>
      <c r="F24" s="32" t="n"/>
      <c r="G24" s="32" t="n"/>
      <c r="H24" s="44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5.75" customHeight="1" s="360">
      <c r="A25" s="47" t="n">
        <v>17</v>
      </c>
      <c r="B25" s="42" t="n"/>
      <c r="C25" s="29" t="n"/>
      <c r="D25" s="29" t="n"/>
      <c r="E25" s="43" t="inlineStr">
        <is>
          <t>In progress</t>
        </is>
      </c>
      <c r="F25" s="35" t="n"/>
      <c r="G25" s="35" t="n"/>
      <c r="H25" s="31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 ht="15.75" customHeight="1" s="360">
      <c r="A26" s="47" t="n">
        <v>18</v>
      </c>
      <c r="B26" s="42" t="n"/>
      <c r="C26" s="29" t="n"/>
      <c r="D26" s="29" t="n"/>
      <c r="E26" s="43" t="inlineStr">
        <is>
          <t>In progress</t>
        </is>
      </c>
      <c r="F26" s="35" t="n"/>
      <c r="G26" s="35" t="n"/>
      <c r="H26" s="31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 ht="15.75" customHeight="1" s="360">
      <c r="A27" s="47" t="n"/>
      <c r="B27" s="42" t="n"/>
      <c r="C27" s="29" t="n"/>
      <c r="D27" s="29" t="n"/>
      <c r="E27" s="43" t="n"/>
      <c r="F27" s="35" t="n"/>
      <c r="G27" s="35" t="n"/>
      <c r="H27" s="31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 ht="15.75" customHeight="1" s="360">
      <c r="A28" s="48" t="n"/>
      <c r="B28" s="49" t="inlineStr">
        <is>
          <t>Gate 1 🔑 - decision to continue, change scope or cancel the project</t>
        </is>
      </c>
      <c r="C28" s="50" t="n"/>
      <c r="D28" s="29" t="n"/>
      <c r="E28" s="51" t="n"/>
      <c r="F28" s="35" t="n"/>
      <c r="G28" s="35" t="n"/>
      <c r="H28" s="31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15.75" customHeight="1" s="360">
      <c r="A29" s="374" t="inlineStr">
        <is>
          <t>Stage 2: Financing &amp; Preparation</t>
        </is>
      </c>
      <c r="B29" s="373" t="n"/>
      <c r="C29" s="373" t="n"/>
      <c r="D29" s="373" t="n"/>
      <c r="E29" s="373" t="n"/>
      <c r="F29" s="373" t="n"/>
      <c r="G29" s="373" t="n"/>
      <c r="H29" s="375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 ht="15.75" customHeight="1" s="360">
      <c r="A30" s="47" t="n">
        <v>19</v>
      </c>
      <c r="B30" s="33" t="n"/>
      <c r="C30" s="53" t="n"/>
      <c r="D30" s="29" t="n"/>
      <c r="E30" s="43" t="inlineStr">
        <is>
          <t>Not started</t>
        </is>
      </c>
      <c r="F30" s="32" t="n"/>
      <c r="G30" s="32" t="n"/>
      <c r="H30" s="44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 ht="15.75" customHeight="1" s="360">
      <c r="A31" s="47" t="n">
        <v>20</v>
      </c>
      <c r="B31" s="33" t="n"/>
      <c r="C31" s="53" t="n"/>
      <c r="D31" s="29" t="n"/>
      <c r="E31" s="43" t="inlineStr">
        <is>
          <t>Not started</t>
        </is>
      </c>
      <c r="F31" s="32" t="n"/>
      <c r="G31" s="32" t="n"/>
      <c r="H31" s="44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 ht="15.75" customHeight="1" s="360">
      <c r="A32" s="47" t="n">
        <v>21</v>
      </c>
      <c r="B32" s="54" t="n"/>
      <c r="C32" s="39" t="n"/>
      <c r="D32" s="29" t="n"/>
      <c r="E32" s="6" t="inlineStr">
        <is>
          <t>Not started</t>
        </is>
      </c>
      <c r="F32" s="30" t="n"/>
      <c r="G32" s="30" t="n"/>
      <c r="H32" s="31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 ht="15.75" customHeight="1" s="360">
      <c r="A33" s="47" t="n">
        <v>22</v>
      </c>
      <c r="B33" s="38" t="n"/>
      <c r="C33" s="39" t="n"/>
      <c r="D33" s="29" t="n"/>
      <c r="E33" s="40" t="inlineStr">
        <is>
          <t>Not started</t>
        </is>
      </c>
      <c r="F33" s="32" t="n"/>
      <c r="G33" s="32" t="n"/>
      <c r="H33" s="41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 ht="15.75" customHeight="1" s="360">
      <c r="A34" s="47" t="n">
        <v>23</v>
      </c>
      <c r="B34" s="45" t="n"/>
      <c r="C34" s="55" t="n"/>
      <c r="D34" s="29" t="n"/>
      <c r="E34" s="6" t="inlineStr">
        <is>
          <t>Not started</t>
        </is>
      </c>
      <c r="F34" s="32" t="n"/>
      <c r="G34" s="32" t="n"/>
      <c r="H34" s="31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 ht="15.75" customHeight="1" s="360">
      <c r="A35" s="47" t="n">
        <v>24</v>
      </c>
      <c r="B35" s="56" t="n"/>
      <c r="C35" s="55" t="n"/>
      <c r="D35" s="29" t="n"/>
      <c r="E35" s="6" t="inlineStr">
        <is>
          <t>Not started</t>
        </is>
      </c>
      <c r="F35" s="32" t="n"/>
      <c r="G35" s="32" t="n"/>
      <c r="H35" s="31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 ht="15.75" customHeight="1" s="360">
      <c r="A36" s="47" t="n">
        <v>25</v>
      </c>
      <c r="B36" s="57" t="n"/>
      <c r="C36" s="46" t="n"/>
      <c r="D36" s="29" t="n"/>
      <c r="E36" s="43" t="inlineStr">
        <is>
          <t>Not started</t>
        </is>
      </c>
      <c r="F36" s="32" t="n"/>
      <c r="G36" s="35" t="n"/>
      <c r="H36" s="58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 ht="15.75" customHeight="1" s="360">
      <c r="A37" s="47" t="n">
        <v>26</v>
      </c>
      <c r="B37" s="57" t="n"/>
      <c r="C37" s="46" t="n"/>
      <c r="D37" s="29" t="n"/>
      <c r="E37" s="43" t="inlineStr">
        <is>
          <t>Not started</t>
        </is>
      </c>
      <c r="F37" s="32" t="n"/>
      <c r="G37" s="35" t="n"/>
      <c r="H37" s="44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 ht="15.75" customHeight="1" s="360">
      <c r="A38" s="47" t="n">
        <v>27</v>
      </c>
      <c r="B38" s="45" t="n"/>
      <c r="C38" s="55" t="n"/>
      <c r="D38" s="29" t="n"/>
      <c r="E38" s="6" t="inlineStr">
        <is>
          <t>Not started</t>
        </is>
      </c>
      <c r="F38" s="32" t="n"/>
      <c r="G38" s="32" t="n"/>
      <c r="H38" s="31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 ht="15.75" customHeight="1" s="360">
      <c r="A39" s="47" t="n">
        <v>28</v>
      </c>
      <c r="B39" s="59" t="n"/>
      <c r="C39" s="60" t="n"/>
      <c r="D39" s="29" t="n"/>
      <c r="E39" s="6" t="inlineStr">
        <is>
          <t>Not started</t>
        </is>
      </c>
      <c r="F39" s="32" t="n"/>
      <c r="G39" s="32" t="n"/>
      <c r="H39" s="44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 ht="15.75" customHeight="1" s="360">
      <c r="A40" s="48" t="n"/>
      <c r="B40" s="49" t="inlineStr">
        <is>
          <t>Gate 2 🔑 - decision to continue, change scope or cancel the project</t>
        </is>
      </c>
      <c r="C40" s="50" t="n"/>
      <c r="D40" s="29" t="n"/>
      <c r="E40" s="51" t="n"/>
      <c r="F40" s="35" t="n"/>
      <c r="G40" s="35" t="n"/>
      <c r="H40" s="61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 ht="15.75" customHeight="1" s="360">
      <c r="A41" s="374" t="inlineStr">
        <is>
          <t>Stage 3: Factory Deployment &amp; Operation</t>
        </is>
      </c>
      <c r="B41" s="373" t="n"/>
      <c r="C41" s="373" t="n"/>
      <c r="D41" s="373" t="n"/>
      <c r="E41" s="373" t="n"/>
      <c r="F41" s="373" t="n"/>
      <c r="G41" s="373" t="n"/>
      <c r="H41" s="375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 ht="15.75" customHeight="1" s="360">
      <c r="A42" s="62" t="n">
        <v>27</v>
      </c>
      <c r="B42" s="63" t="n"/>
      <c r="C42" s="64" t="n"/>
      <c r="D42" s="28" t="n"/>
      <c r="E42" s="6" t="n"/>
      <c r="F42" s="65" t="n"/>
      <c r="G42" s="65" t="n"/>
      <c r="H42" s="61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 ht="15.75" customHeight="1" s="360">
      <c r="A43" s="62" t="n">
        <v>28</v>
      </c>
      <c r="B43" s="45" t="n"/>
      <c r="C43" s="55" t="n"/>
      <c r="D43" s="66" t="n"/>
      <c r="E43" s="43" t="inlineStr">
        <is>
          <t>Not started</t>
        </is>
      </c>
      <c r="F43" s="32" t="n"/>
      <c r="G43" s="32" t="n"/>
      <c r="H43" s="67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 ht="15.75" customHeight="1" s="360">
      <c r="A44" s="47" t="n">
        <v>29</v>
      </c>
      <c r="B44" s="68" t="n"/>
      <c r="C44" s="69" t="n"/>
      <c r="D44" s="29" t="n"/>
      <c r="E44" s="6" t="inlineStr">
        <is>
          <t>Not started</t>
        </is>
      </c>
      <c r="F44" s="32" t="n"/>
      <c r="G44" s="32" t="n"/>
      <c r="H44" s="44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 ht="15.75" customHeight="1" s="360">
      <c r="A45" s="47" t="n">
        <v>30</v>
      </c>
      <c r="B45" s="38" t="n"/>
      <c r="C45" s="39" t="n"/>
      <c r="D45" s="29" t="n"/>
      <c r="E45" s="70" t="inlineStr">
        <is>
          <t>Not started</t>
        </is>
      </c>
      <c r="F45" s="30" t="n"/>
      <c r="G45" s="30" t="n"/>
      <c r="H45" s="58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 ht="15.75" customHeight="1" s="360">
      <c r="A46" s="71" t="n"/>
      <c r="B46" s="72" t="n"/>
      <c r="C46" s="73" t="n"/>
      <c r="D46" s="29" t="n"/>
      <c r="E46" s="74" t="inlineStr">
        <is>
          <t>Not started</t>
        </is>
      </c>
      <c r="F46" s="35" t="n"/>
      <c r="G46" s="35" t="n"/>
      <c r="H46" s="67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 ht="15.75" customHeight="1" s="360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 ht="112.5" customHeight="1" s="360">
      <c r="A48" s="376" t="inlineStr">
        <is>
          <t xml:space="preserve">What other documents are used:
</t>
        </is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 ht="15.75" customHeight="1" s="360">
      <c r="A49" s="77" t="n"/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</row>
    <row r="50" ht="15.75" customHeight="1" s="360">
      <c r="A50" s="77" t="n"/>
      <c r="B50" s="77" t="n"/>
      <c r="C50" s="77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</row>
    <row r="51" ht="15.75" customHeight="1" s="360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77" t="n"/>
      <c r="Q51" s="77" t="n"/>
      <c r="R51" s="77" t="n"/>
    </row>
    <row r="52" ht="15.75" customHeight="1" s="360">
      <c r="A52" s="77" t="n"/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</row>
    <row r="53" ht="15.75" customHeight="1" s="360">
      <c r="A53" s="77" t="n"/>
      <c r="B53" s="77" t="n"/>
      <c r="C53" s="77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77" t="n"/>
      <c r="Q53" s="77" t="n"/>
      <c r="R53" s="77" t="n"/>
    </row>
    <row r="54" ht="15.75" customHeight="1" s="360">
      <c r="A54" s="77" t="n"/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</row>
    <row r="55" ht="15.75" customHeight="1" s="360">
      <c r="A55" s="77" t="n"/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</row>
    <row r="56" ht="15.75" customHeight="1" s="360">
      <c r="A56" s="77" t="n"/>
      <c r="B56" s="77" t="n"/>
      <c r="C56" s="77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</row>
    <row r="57" ht="15.75" customHeight="1" s="360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</row>
    <row r="58" ht="15.75" customHeight="1" s="360">
      <c r="A58" s="77" t="n"/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</row>
    <row r="59" ht="15.75" customHeight="1" s="360">
      <c r="A59" s="77" t="n"/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  <c r="P59" s="77" t="n"/>
      <c r="Q59" s="77" t="n"/>
      <c r="R59" s="77" t="n"/>
    </row>
    <row r="60" ht="15.75" customHeight="1" s="360">
      <c r="A60" s="77" t="n"/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</row>
    <row r="61" ht="15.75" customHeight="1" s="360">
      <c r="A61" s="77" t="n"/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77" t="n"/>
      <c r="Q61" s="77" t="n"/>
      <c r="R61" s="77" t="n"/>
    </row>
    <row r="62" ht="15.75" customHeight="1" s="360">
      <c r="A62" s="77" t="n"/>
      <c r="B62" s="77" t="n"/>
      <c r="C62" s="77" t="n"/>
      <c r="D62" s="77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</row>
    <row r="63" ht="15.75" customHeight="1" s="360">
      <c r="A63" s="77" t="n"/>
      <c r="B63" s="77" t="n"/>
      <c r="C63" s="77" t="n"/>
      <c r="D63" s="77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  <c r="O63" s="77" t="n"/>
      <c r="P63" s="77" t="n"/>
      <c r="Q63" s="77" t="n"/>
      <c r="R63" s="77" t="n"/>
    </row>
    <row r="64" ht="15.75" customHeight="1" s="360">
      <c r="A64" s="77" t="n"/>
      <c r="B64" s="77" t="n"/>
      <c r="C64" s="77" t="n"/>
      <c r="D64" s="77" t="n"/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</row>
    <row r="65" ht="15.75" customHeight="1" s="360">
      <c r="A65" s="77" t="n"/>
      <c r="B65" s="77" t="n"/>
      <c r="C65" s="77" t="n"/>
      <c r="D65" s="77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  <c r="O65" s="77" t="n"/>
      <c r="P65" s="77" t="n"/>
      <c r="Q65" s="77" t="n"/>
      <c r="R65" s="77" t="n"/>
    </row>
    <row r="66" ht="15.75" customHeight="1" s="360">
      <c r="A66" s="77" t="n"/>
      <c r="B66" s="77" t="n"/>
      <c r="C66" s="77" t="n"/>
      <c r="D66" s="77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</row>
    <row r="67" ht="15.75" customHeight="1" s="360">
      <c r="A67" s="77" t="n"/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  <c r="O67" s="77" t="n"/>
      <c r="P67" s="77" t="n"/>
      <c r="Q67" s="77" t="n"/>
      <c r="R67" s="77" t="n"/>
    </row>
    <row r="68" ht="15.75" customHeight="1" s="360">
      <c r="A68" s="77" t="n"/>
      <c r="B68" s="77" t="n"/>
      <c r="C68" s="77" t="n"/>
      <c r="D68" s="77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</row>
    <row r="69" ht="15.75" customHeight="1" s="360">
      <c r="A69" s="77" t="n"/>
      <c r="B69" s="77" t="n"/>
      <c r="C69" s="77" t="n"/>
      <c r="D69" s="77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  <c r="O69" s="77" t="n"/>
      <c r="P69" s="77" t="n"/>
      <c r="Q69" s="77" t="n"/>
      <c r="R69" s="77" t="n"/>
    </row>
    <row r="70" ht="15.75" customHeight="1" s="360">
      <c r="A70" s="77" t="n"/>
      <c r="B70" s="77" t="n"/>
      <c r="C70" s="77" t="n"/>
      <c r="D70" s="77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</row>
    <row r="71" ht="15.75" customHeight="1" s="360">
      <c r="A71" s="77" t="n"/>
      <c r="B71" s="77" t="n"/>
      <c r="C71" s="77" t="n"/>
      <c r="D71" s="77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  <c r="O71" s="77" t="n"/>
      <c r="P71" s="77" t="n"/>
      <c r="Q71" s="77" t="n"/>
      <c r="R71" s="77" t="n"/>
    </row>
    <row r="72" ht="15.75" customHeight="1" s="360">
      <c r="A72" s="77" t="n"/>
      <c r="B72" s="77" t="n"/>
      <c r="C72" s="77" t="n"/>
      <c r="D72" s="77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</row>
    <row r="73" ht="15.75" customHeight="1" s="360">
      <c r="A73" s="77" t="n"/>
      <c r="B73" s="77" t="n"/>
      <c r="C73" s="77" t="n"/>
      <c r="D73" s="77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  <c r="O73" s="77" t="n"/>
      <c r="P73" s="77" t="n"/>
      <c r="Q73" s="77" t="n"/>
      <c r="R73" s="77" t="n"/>
    </row>
    <row r="74" ht="15.75" customHeight="1" s="360">
      <c r="A74" s="77" t="n"/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</row>
    <row r="75" ht="15.75" customHeight="1" s="360">
      <c r="A75" s="77" t="n"/>
      <c r="B75" s="77" t="n"/>
      <c r="C75" s="77" t="n"/>
      <c r="D75" s="77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  <c r="O75" s="77" t="n"/>
      <c r="P75" s="77" t="n"/>
      <c r="Q75" s="77" t="n"/>
      <c r="R75" s="77" t="n"/>
    </row>
    <row r="76" ht="15.75" customHeight="1" s="360">
      <c r="A76" s="77" t="n"/>
      <c r="B76" s="77" t="n"/>
      <c r="C76" s="77" t="n"/>
      <c r="D76" s="77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</row>
    <row r="77" ht="15.75" customHeight="1" s="360">
      <c r="A77" s="77" t="n"/>
      <c r="B77" s="77" t="n"/>
      <c r="C77" s="77" t="n"/>
      <c r="D77" s="77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77" t="n"/>
      <c r="Q77" s="77" t="n"/>
      <c r="R77" s="77" t="n"/>
    </row>
    <row r="78" ht="15.75" customHeight="1" s="360">
      <c r="A78" s="77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</row>
    <row r="79" ht="15.75" customHeight="1" s="360">
      <c r="A79" s="77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</row>
    <row r="80" ht="15.75" customHeight="1" s="360">
      <c r="A80" s="77" t="n"/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</row>
    <row r="88" ht="15.75" customHeight="1" s="360">
      <c r="A88" s="77" t="n"/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</row>
    <row r="89" ht="15.75" customHeight="1" s="360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</row>
    <row r="90" ht="15.75" customHeight="1" s="360">
      <c r="A90" s="77" t="n"/>
      <c r="B90" s="77" t="n"/>
      <c r="C90" s="77" t="n"/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</row>
    <row r="91" ht="15.75" customHeight="1" s="360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77" t="n"/>
      <c r="Q91" s="77" t="n"/>
      <c r="R91" s="77" t="n"/>
    </row>
    <row r="92" ht="15.75" customHeight="1" s="360">
      <c r="A92" s="77" t="n"/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</row>
    <row r="93" ht="15.75" customHeight="1" s="360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77" t="n"/>
      <c r="Q93" s="77" t="n"/>
      <c r="R93" s="77" t="n"/>
    </row>
    <row r="94" ht="15.75" customHeight="1" s="360">
      <c r="A94" s="77" t="n"/>
      <c r="B94" s="77" t="n"/>
      <c r="C94" s="77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</row>
    <row r="95" ht="15.75" customHeight="1" s="360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77" t="n"/>
      <c r="Q95" s="77" t="n"/>
      <c r="R95" s="77" t="n"/>
    </row>
    <row r="96" ht="15.75" customHeight="1" s="360">
      <c r="A96" s="77" t="n"/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</row>
    <row r="97" ht="15.75" customHeight="1" s="360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77" t="n"/>
      <c r="Q97" s="77" t="n"/>
      <c r="R97" s="77" t="n"/>
    </row>
    <row r="98" ht="15.75" customHeight="1" s="360">
      <c r="A98" s="77" t="n"/>
      <c r="B98" s="77" t="n"/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</row>
    <row r="99" ht="15.75" customHeight="1" s="360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77" t="n"/>
      <c r="Q99" s="77" t="n"/>
      <c r="R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77" t="n"/>
      <c r="Q143" s="77" t="n"/>
      <c r="R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77" t="n"/>
      <c r="Q145" s="77" t="n"/>
      <c r="R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77" t="n"/>
      <c r="Q147" s="77" t="n"/>
      <c r="R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77" t="n"/>
      <c r="Q149" s="77" t="n"/>
      <c r="R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77" t="n"/>
      <c r="Q151" s="77" t="n"/>
      <c r="R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77" t="n"/>
      <c r="Q153" s="77" t="n"/>
      <c r="R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77" t="n"/>
      <c r="Q155" s="77" t="n"/>
      <c r="R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77" t="n"/>
      <c r="Q157" s="77" t="n"/>
      <c r="R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77" t="n"/>
      <c r="Q159" s="77" t="n"/>
      <c r="R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77" t="n"/>
      <c r="Q161" s="77" t="n"/>
      <c r="R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77" t="n"/>
      <c r="Q163" s="77" t="n"/>
      <c r="R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77" t="n"/>
      <c r="Q165" s="77" t="n"/>
      <c r="R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77" t="n"/>
      <c r="Q167" s="77" t="n"/>
      <c r="R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77" t="n"/>
      <c r="Q169" s="77" t="n"/>
      <c r="R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77" t="n"/>
      <c r="Q171" s="77" t="n"/>
      <c r="R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77" t="n"/>
      <c r="Q173" s="77" t="n"/>
      <c r="R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77" t="n"/>
      <c r="Q175" s="77" t="n"/>
      <c r="R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77" t="n"/>
      <c r="Q177" s="77" t="n"/>
      <c r="R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77" t="n"/>
      <c r="Q179" s="77" t="n"/>
      <c r="R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77" t="n"/>
      <c r="Q181" s="77" t="n"/>
      <c r="R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77" t="n"/>
      <c r="Q183" s="77" t="n"/>
      <c r="R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77" t="n"/>
      <c r="Q185" s="77" t="n"/>
      <c r="R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77" t="n"/>
      <c r="Q187" s="77" t="n"/>
      <c r="R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77" t="n"/>
      <c r="Q189" s="77" t="n"/>
      <c r="R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77" t="n"/>
      <c r="Q191" s="77" t="n"/>
      <c r="R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77" t="n"/>
      <c r="Q193" s="77" t="n"/>
      <c r="R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77" t="n"/>
      <c r="Q195" s="77" t="n"/>
      <c r="R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77" t="n"/>
      <c r="Q197" s="77" t="n"/>
      <c r="R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77" t="n"/>
      <c r="Q199" s="77" t="n"/>
      <c r="R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77" t="n"/>
      <c r="Q201" s="77" t="n"/>
      <c r="R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77" t="n"/>
      <c r="Q203" s="77" t="n"/>
      <c r="R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77" t="n"/>
      <c r="Q205" s="77" t="n"/>
      <c r="R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77" t="n"/>
      <c r="Q207" s="77" t="n"/>
      <c r="R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77" t="n"/>
      <c r="Q208" s="77" t="n"/>
      <c r="R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77" t="n"/>
      <c r="Q209" s="77" t="n"/>
      <c r="R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77" t="n"/>
      <c r="Q210" s="77" t="n"/>
      <c r="R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77" t="n"/>
      <c r="Q211" s="77" t="n"/>
      <c r="R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77" t="n"/>
      <c r="Q212" s="77" t="n"/>
      <c r="R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  <c r="P213" s="77" t="n"/>
      <c r="Q213" s="77" t="n"/>
      <c r="R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77" t="n"/>
      <c r="Q214" s="77" t="n"/>
      <c r="R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77" t="n"/>
      <c r="Q215" s="77" t="n"/>
      <c r="R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77" t="n"/>
      <c r="Q216" s="77" t="n"/>
      <c r="R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77" t="n"/>
      <c r="Q217" s="77" t="n"/>
      <c r="R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77" t="n"/>
      <c r="Q218" s="77" t="n"/>
      <c r="R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77" t="n"/>
      <c r="Q219" s="77" t="n"/>
      <c r="R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77" t="n"/>
      <c r="Q220" s="77" t="n"/>
      <c r="R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77" t="n"/>
      <c r="Q221" s="77" t="n"/>
      <c r="R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77" t="n"/>
      <c r="Q222" s="77" t="n"/>
      <c r="R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77" t="n"/>
      <c r="Q223" s="77" t="n"/>
      <c r="R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77" t="n"/>
      <c r="Q224" s="77" t="n"/>
      <c r="R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77" t="n"/>
      <c r="Q225" s="77" t="n"/>
      <c r="R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77" t="n"/>
      <c r="Q226" s="77" t="n"/>
      <c r="R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77" t="n"/>
      <c r="Q227" s="77" t="n"/>
      <c r="R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77" t="n"/>
      <c r="Q228" s="77" t="n"/>
      <c r="R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77" t="n"/>
      <c r="Q229" s="77" t="n"/>
      <c r="R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  <c r="O230" s="77" t="n"/>
      <c r="P230" s="77" t="n"/>
      <c r="Q230" s="77" t="n"/>
      <c r="R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77" t="n"/>
      <c r="Q231" s="77" t="n"/>
      <c r="R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77" t="n"/>
      <c r="Q232" s="77" t="n"/>
      <c r="R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77" t="n"/>
      <c r="Q233" s="77" t="n"/>
      <c r="R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77" t="n"/>
      <c r="Q234" s="77" t="n"/>
      <c r="R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77" t="n"/>
      <c r="Q235" s="77" t="n"/>
      <c r="R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77" t="n"/>
      <c r="Q236" s="77" t="n"/>
      <c r="R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77" t="n"/>
      <c r="Q237" s="77" t="n"/>
      <c r="R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77" t="n"/>
      <c r="Q238" s="77" t="n"/>
      <c r="R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77" t="n"/>
      <c r="Q239" s="77" t="n"/>
      <c r="R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77" t="n"/>
      <c r="Q240" s="77" t="n"/>
      <c r="R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77" t="n"/>
      <c r="Q241" s="77" t="n"/>
      <c r="R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77" t="n"/>
      <c r="Q242" s="77" t="n"/>
      <c r="R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77" t="n"/>
      <c r="Q243" s="77" t="n"/>
      <c r="R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77" t="n"/>
      <c r="Q244" s="77" t="n"/>
      <c r="R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77" t="n"/>
      <c r="Q245" s="77" t="n"/>
      <c r="R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77" t="n"/>
      <c r="Q246" s="77" t="n"/>
      <c r="R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77" t="n"/>
      <c r="Q247" s="77" t="n"/>
      <c r="R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77" t="n"/>
      <c r="Q248" s="77" t="n"/>
      <c r="R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77" t="n"/>
      <c r="Q249" s="77" t="n"/>
      <c r="R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77" t="n"/>
      <c r="Q250" s="77" t="n"/>
      <c r="R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77" t="n"/>
      <c r="Q251" s="77" t="n"/>
      <c r="R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77" t="n"/>
      <c r="Q252" s="77" t="n"/>
      <c r="R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77" t="n"/>
      <c r="Q253" s="77" t="n"/>
      <c r="R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77" t="n"/>
      <c r="Q254" s="77" t="n"/>
      <c r="R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77" t="n"/>
      <c r="Q255" s="77" t="n"/>
      <c r="R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77" t="n"/>
      <c r="Q256" s="77" t="n"/>
      <c r="R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77" t="n"/>
      <c r="Q257" s="77" t="n"/>
      <c r="R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77" t="n"/>
      <c r="Q258" s="77" t="n"/>
      <c r="R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77" t="n"/>
      <c r="Q259" s="77" t="n"/>
      <c r="R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77" t="n"/>
      <c r="Q260" s="77" t="n"/>
      <c r="R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77" t="n"/>
      <c r="Q261" s="77" t="n"/>
      <c r="R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77" t="n"/>
      <c r="Q262" s="77" t="n"/>
      <c r="R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77" t="n"/>
      <c r="Q263" s="77" t="n"/>
      <c r="R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77" t="n"/>
      <c r="Q264" s="77" t="n"/>
      <c r="R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77" t="n"/>
      <c r="Q265" s="77" t="n"/>
      <c r="R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77" t="n"/>
      <c r="Q266" s="77" t="n"/>
      <c r="R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77" t="n"/>
      <c r="Q267" s="77" t="n"/>
      <c r="R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77" t="n"/>
      <c r="Q268" s="77" t="n"/>
      <c r="R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77" t="n"/>
      <c r="Q269" s="77" t="n"/>
      <c r="R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77" t="n"/>
      <c r="Q270" s="77" t="n"/>
      <c r="R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77" t="n"/>
      <c r="Q271" s="77" t="n"/>
      <c r="R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77" t="n"/>
      <c r="Q272" s="77" t="n"/>
      <c r="R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77" t="n"/>
      <c r="Q273" s="77" t="n"/>
      <c r="R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77" t="n"/>
      <c r="Q274" s="77" t="n"/>
      <c r="R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77" t="n"/>
      <c r="Q275" s="77" t="n"/>
      <c r="R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77" t="n"/>
      <c r="Q276" s="77" t="n"/>
      <c r="R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77" t="n"/>
      <c r="Q277" s="77" t="n"/>
      <c r="R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77" t="n"/>
      <c r="Q278" s="77" t="n"/>
      <c r="R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77" t="n"/>
      <c r="Q279" s="77" t="n"/>
      <c r="R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77" t="n"/>
      <c r="Q280" s="77" t="n"/>
      <c r="R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77" t="n"/>
      <c r="Q281" s="77" t="n"/>
      <c r="R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77" t="n"/>
      <c r="Q282" s="77" t="n"/>
      <c r="R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77" t="n"/>
      <c r="Q283" s="77" t="n"/>
      <c r="R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77" t="n"/>
      <c r="Q284" s="77" t="n"/>
      <c r="R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77" t="n"/>
      <c r="Q285" s="77" t="n"/>
      <c r="R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77" t="n"/>
      <c r="Q286" s="77" t="n"/>
      <c r="R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77" t="n"/>
      <c r="Q287" s="77" t="n"/>
      <c r="R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77" t="n"/>
      <c r="Q288" s="77" t="n"/>
      <c r="R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77" t="n"/>
      <c r="Q289" s="77" t="n"/>
      <c r="R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77" t="n"/>
      <c r="Q290" s="77" t="n"/>
      <c r="R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77" t="n"/>
      <c r="Q291" s="77" t="n"/>
      <c r="R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77" t="n"/>
      <c r="Q292" s="77" t="n"/>
      <c r="R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77" t="n"/>
      <c r="Q293" s="77" t="n"/>
      <c r="R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77" t="n"/>
      <c r="Q294" s="77" t="n"/>
      <c r="R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77" t="n"/>
      <c r="Q295" s="77" t="n"/>
      <c r="R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77" t="n"/>
      <c r="Q296" s="77" t="n"/>
      <c r="R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77" t="n"/>
      <c r="Q297" s="77" t="n"/>
      <c r="R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77" t="n"/>
      <c r="Q298" s="77" t="n"/>
      <c r="R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77" t="n"/>
      <c r="Q299" s="77" t="n"/>
      <c r="R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77" t="n"/>
      <c r="Q300" s="77" t="n"/>
      <c r="R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77" t="n"/>
      <c r="Q301" s="77" t="n"/>
      <c r="R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77" t="n"/>
      <c r="Q302" s="77" t="n"/>
      <c r="R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77" t="n"/>
      <c r="Q303" s="77" t="n"/>
      <c r="R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77" t="n"/>
      <c r="Q304" s="77" t="n"/>
      <c r="R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77" t="n"/>
      <c r="Q305" s="77" t="n"/>
      <c r="R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77" t="n"/>
      <c r="Q306" s="77" t="n"/>
      <c r="R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77" t="n"/>
      <c r="Q307" s="77" t="n"/>
      <c r="R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77" t="n"/>
      <c r="Q308" s="77" t="n"/>
      <c r="R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77" t="n"/>
      <c r="Q309" s="77" t="n"/>
      <c r="R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77" t="n"/>
      <c r="Q310" s="77" t="n"/>
      <c r="R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77" t="n"/>
      <c r="Q311" s="77" t="n"/>
      <c r="R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77" t="n"/>
      <c r="Q312" s="77" t="n"/>
      <c r="R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  <c r="P313" s="77" t="n"/>
      <c r="Q313" s="77" t="n"/>
      <c r="R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77" t="n"/>
      <c r="Q314" s="77" t="n"/>
      <c r="R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77" t="n"/>
      <c r="Q315" s="77" t="n"/>
      <c r="R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77" t="n"/>
      <c r="Q316" s="77" t="n"/>
      <c r="R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77" t="n"/>
      <c r="Q317" s="77" t="n"/>
      <c r="R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77" t="n"/>
      <c r="Q318" s="77" t="n"/>
      <c r="R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77" t="n"/>
      <c r="Q319" s="77" t="n"/>
      <c r="R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77" t="n"/>
      <c r="Q320" s="77" t="n"/>
      <c r="R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77" t="n"/>
      <c r="Q321" s="77" t="n"/>
      <c r="R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77" t="n"/>
      <c r="Q322" s="77" t="n"/>
      <c r="R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77" t="n"/>
      <c r="Q323" s="77" t="n"/>
      <c r="R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77" t="n"/>
      <c r="Q324" s="77" t="n"/>
      <c r="R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77" t="n"/>
      <c r="Q325" s="77" t="n"/>
      <c r="R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77" t="n"/>
      <c r="Q326" s="77" t="n"/>
      <c r="R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77" t="n"/>
      <c r="Q327" s="77" t="n"/>
      <c r="R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77" t="n"/>
      <c r="Q328" s="77" t="n"/>
      <c r="R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77" t="n"/>
      <c r="Q329" s="77" t="n"/>
      <c r="R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77" t="n"/>
      <c r="Q330" s="77" t="n"/>
      <c r="R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77" t="n"/>
      <c r="Q331" s="77" t="n"/>
      <c r="R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77" t="n"/>
      <c r="Q332" s="77" t="n"/>
      <c r="R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77" t="n"/>
      <c r="Q333" s="77" t="n"/>
      <c r="R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77" t="n"/>
      <c r="Q334" s="77" t="n"/>
      <c r="R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77" t="n"/>
      <c r="Q335" s="77" t="n"/>
      <c r="R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77" t="n"/>
      <c r="Q336" s="77" t="n"/>
      <c r="R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77" t="n"/>
      <c r="Q337" s="77" t="n"/>
      <c r="R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77" t="n"/>
      <c r="Q338" s="77" t="n"/>
      <c r="R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77" t="n"/>
      <c r="Q339" s="77" t="n"/>
      <c r="R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77" t="n"/>
      <c r="Q340" s="77" t="n"/>
      <c r="R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77" t="n"/>
      <c r="Q341" s="77" t="n"/>
      <c r="R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  <c r="O342" s="77" t="n"/>
      <c r="P342" s="77" t="n"/>
      <c r="Q342" s="77" t="n"/>
      <c r="R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  <c r="P343" s="77" t="n"/>
      <c r="Q343" s="77" t="n"/>
      <c r="R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  <c r="O344" s="77" t="n"/>
      <c r="P344" s="77" t="n"/>
      <c r="Q344" s="77" t="n"/>
      <c r="R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  <c r="P345" s="77" t="n"/>
      <c r="Q345" s="77" t="n"/>
      <c r="R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  <c r="O346" s="77" t="n"/>
      <c r="P346" s="77" t="n"/>
      <c r="Q346" s="77" t="n"/>
      <c r="R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  <c r="P347" s="77" t="n"/>
      <c r="Q347" s="77" t="n"/>
      <c r="R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  <c r="O348" s="77" t="n"/>
      <c r="P348" s="77" t="n"/>
      <c r="Q348" s="77" t="n"/>
      <c r="R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  <c r="P349" s="77" t="n"/>
      <c r="Q349" s="77" t="n"/>
      <c r="R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  <c r="O350" s="77" t="n"/>
      <c r="P350" s="77" t="n"/>
      <c r="Q350" s="77" t="n"/>
      <c r="R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  <c r="P351" s="77" t="n"/>
      <c r="Q351" s="77" t="n"/>
      <c r="R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  <c r="O352" s="77" t="n"/>
      <c r="P352" s="77" t="n"/>
      <c r="Q352" s="77" t="n"/>
      <c r="R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  <c r="P353" s="77" t="n"/>
      <c r="Q353" s="77" t="n"/>
      <c r="R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  <c r="O354" s="77" t="n"/>
      <c r="P354" s="77" t="n"/>
      <c r="Q354" s="77" t="n"/>
      <c r="R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  <c r="P355" s="77" t="n"/>
      <c r="Q355" s="77" t="n"/>
      <c r="R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  <c r="O356" s="77" t="n"/>
      <c r="P356" s="77" t="n"/>
      <c r="Q356" s="77" t="n"/>
      <c r="R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  <c r="P357" s="77" t="n"/>
      <c r="Q357" s="77" t="n"/>
      <c r="R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  <c r="O358" s="77" t="n"/>
      <c r="P358" s="77" t="n"/>
      <c r="Q358" s="77" t="n"/>
      <c r="R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  <c r="P359" s="77" t="n"/>
      <c r="Q359" s="77" t="n"/>
      <c r="R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  <c r="O360" s="77" t="n"/>
      <c r="P360" s="77" t="n"/>
      <c r="Q360" s="77" t="n"/>
      <c r="R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  <c r="P361" s="77" t="n"/>
      <c r="Q361" s="77" t="n"/>
      <c r="R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  <c r="O362" s="77" t="n"/>
      <c r="P362" s="77" t="n"/>
      <c r="Q362" s="77" t="n"/>
      <c r="R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  <c r="P363" s="77" t="n"/>
      <c r="Q363" s="77" t="n"/>
      <c r="R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  <c r="O364" s="77" t="n"/>
      <c r="P364" s="77" t="n"/>
      <c r="Q364" s="77" t="n"/>
      <c r="R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  <c r="P365" s="77" t="n"/>
      <c r="Q365" s="77" t="n"/>
      <c r="R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  <c r="O366" s="77" t="n"/>
      <c r="P366" s="77" t="n"/>
      <c r="Q366" s="77" t="n"/>
      <c r="R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  <c r="P367" s="77" t="n"/>
      <c r="Q367" s="77" t="n"/>
      <c r="R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  <c r="O368" s="77" t="n"/>
      <c r="P368" s="77" t="n"/>
      <c r="Q368" s="77" t="n"/>
      <c r="R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  <c r="P369" s="77" t="n"/>
      <c r="Q369" s="77" t="n"/>
      <c r="R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  <c r="O370" s="77" t="n"/>
      <c r="P370" s="77" t="n"/>
      <c r="Q370" s="77" t="n"/>
      <c r="R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  <c r="P371" s="77" t="n"/>
      <c r="Q371" s="77" t="n"/>
      <c r="R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  <c r="O372" s="77" t="n"/>
      <c r="P372" s="77" t="n"/>
      <c r="Q372" s="77" t="n"/>
      <c r="R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  <c r="P373" s="77" t="n"/>
      <c r="Q373" s="77" t="n"/>
      <c r="R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  <c r="O374" s="77" t="n"/>
      <c r="P374" s="77" t="n"/>
      <c r="Q374" s="77" t="n"/>
      <c r="R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  <c r="P375" s="77" t="n"/>
      <c r="Q375" s="77" t="n"/>
      <c r="R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  <c r="O376" s="77" t="n"/>
      <c r="P376" s="77" t="n"/>
      <c r="Q376" s="77" t="n"/>
      <c r="R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  <c r="P377" s="77" t="n"/>
      <c r="Q377" s="77" t="n"/>
      <c r="R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  <c r="O378" s="77" t="n"/>
      <c r="P378" s="77" t="n"/>
      <c r="Q378" s="77" t="n"/>
      <c r="R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  <c r="P379" s="77" t="n"/>
      <c r="Q379" s="77" t="n"/>
      <c r="R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  <c r="O380" s="77" t="n"/>
      <c r="P380" s="77" t="n"/>
      <c r="Q380" s="77" t="n"/>
      <c r="R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  <c r="P381" s="77" t="n"/>
      <c r="Q381" s="77" t="n"/>
      <c r="R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  <c r="O382" s="77" t="n"/>
      <c r="P382" s="77" t="n"/>
      <c r="Q382" s="77" t="n"/>
      <c r="R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  <c r="P383" s="77" t="n"/>
      <c r="Q383" s="77" t="n"/>
      <c r="R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  <c r="O384" s="77" t="n"/>
      <c r="P384" s="77" t="n"/>
      <c r="Q384" s="77" t="n"/>
      <c r="R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  <c r="P385" s="77" t="n"/>
      <c r="Q385" s="77" t="n"/>
      <c r="R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  <c r="O386" s="77" t="n"/>
      <c r="P386" s="77" t="n"/>
      <c r="Q386" s="77" t="n"/>
      <c r="R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  <c r="P387" s="77" t="n"/>
      <c r="Q387" s="77" t="n"/>
      <c r="R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  <c r="O388" s="77" t="n"/>
      <c r="P388" s="77" t="n"/>
      <c r="Q388" s="77" t="n"/>
      <c r="R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  <c r="P389" s="77" t="n"/>
      <c r="Q389" s="77" t="n"/>
      <c r="R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  <c r="O390" s="77" t="n"/>
      <c r="P390" s="77" t="n"/>
      <c r="Q390" s="77" t="n"/>
      <c r="R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  <c r="P391" s="77" t="n"/>
      <c r="Q391" s="77" t="n"/>
      <c r="R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  <c r="O392" s="77" t="n"/>
      <c r="P392" s="77" t="n"/>
      <c r="Q392" s="77" t="n"/>
      <c r="R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  <c r="P393" s="77" t="n"/>
      <c r="Q393" s="77" t="n"/>
      <c r="R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  <c r="O394" s="77" t="n"/>
      <c r="P394" s="77" t="n"/>
      <c r="Q394" s="77" t="n"/>
      <c r="R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  <c r="P395" s="77" t="n"/>
      <c r="Q395" s="77" t="n"/>
      <c r="R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  <c r="O396" s="77" t="n"/>
      <c r="P396" s="77" t="n"/>
      <c r="Q396" s="77" t="n"/>
      <c r="R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  <c r="P397" s="77" t="n"/>
      <c r="Q397" s="77" t="n"/>
      <c r="R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  <c r="O398" s="77" t="n"/>
      <c r="P398" s="77" t="n"/>
      <c r="Q398" s="77" t="n"/>
      <c r="R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  <c r="P399" s="77" t="n"/>
      <c r="Q399" s="77" t="n"/>
      <c r="R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  <c r="O400" s="77" t="n"/>
      <c r="P400" s="77" t="n"/>
      <c r="Q400" s="77" t="n"/>
      <c r="R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  <c r="P401" s="77" t="n"/>
      <c r="Q401" s="77" t="n"/>
      <c r="R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  <c r="O402" s="77" t="n"/>
      <c r="P402" s="77" t="n"/>
      <c r="Q402" s="77" t="n"/>
      <c r="R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  <c r="P403" s="77" t="n"/>
      <c r="Q403" s="77" t="n"/>
      <c r="R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  <c r="O404" s="77" t="n"/>
      <c r="P404" s="77" t="n"/>
      <c r="Q404" s="77" t="n"/>
      <c r="R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  <c r="P405" s="77" t="n"/>
      <c r="Q405" s="77" t="n"/>
      <c r="R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  <c r="O406" s="77" t="n"/>
      <c r="P406" s="77" t="n"/>
      <c r="Q406" s="77" t="n"/>
      <c r="R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  <c r="P407" s="77" t="n"/>
      <c r="Q407" s="77" t="n"/>
      <c r="R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  <c r="O408" s="77" t="n"/>
      <c r="P408" s="77" t="n"/>
      <c r="Q408" s="77" t="n"/>
      <c r="R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  <c r="P409" s="77" t="n"/>
      <c r="Q409" s="77" t="n"/>
      <c r="R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  <c r="O410" s="77" t="n"/>
      <c r="P410" s="77" t="n"/>
      <c r="Q410" s="77" t="n"/>
      <c r="R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  <c r="P411" s="77" t="n"/>
      <c r="Q411" s="77" t="n"/>
      <c r="R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  <c r="O412" s="77" t="n"/>
      <c r="P412" s="77" t="n"/>
      <c r="Q412" s="77" t="n"/>
      <c r="R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  <c r="P413" s="77" t="n"/>
      <c r="Q413" s="77" t="n"/>
      <c r="R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  <c r="O414" s="77" t="n"/>
      <c r="P414" s="77" t="n"/>
      <c r="Q414" s="77" t="n"/>
      <c r="R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  <c r="P415" s="77" t="n"/>
      <c r="Q415" s="77" t="n"/>
      <c r="R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  <c r="O416" s="77" t="n"/>
      <c r="P416" s="77" t="n"/>
      <c r="Q416" s="77" t="n"/>
      <c r="R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  <c r="P417" s="77" t="n"/>
      <c r="Q417" s="77" t="n"/>
      <c r="R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  <c r="O418" s="77" t="n"/>
      <c r="P418" s="77" t="n"/>
      <c r="Q418" s="77" t="n"/>
      <c r="R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  <c r="P419" s="77" t="n"/>
      <c r="Q419" s="77" t="n"/>
      <c r="R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  <c r="O420" s="77" t="n"/>
      <c r="P420" s="77" t="n"/>
      <c r="Q420" s="77" t="n"/>
      <c r="R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  <c r="P421" s="77" t="n"/>
      <c r="Q421" s="77" t="n"/>
      <c r="R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  <c r="O422" s="77" t="n"/>
      <c r="P422" s="77" t="n"/>
      <c r="Q422" s="77" t="n"/>
      <c r="R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  <c r="P423" s="77" t="n"/>
      <c r="Q423" s="77" t="n"/>
      <c r="R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  <c r="O424" s="77" t="n"/>
      <c r="P424" s="77" t="n"/>
      <c r="Q424" s="77" t="n"/>
      <c r="R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  <c r="P425" s="77" t="n"/>
      <c r="Q425" s="77" t="n"/>
      <c r="R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  <c r="O426" s="77" t="n"/>
      <c r="P426" s="77" t="n"/>
      <c r="Q426" s="77" t="n"/>
      <c r="R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  <c r="P427" s="77" t="n"/>
      <c r="Q427" s="77" t="n"/>
      <c r="R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  <c r="O428" s="77" t="n"/>
      <c r="P428" s="77" t="n"/>
      <c r="Q428" s="77" t="n"/>
      <c r="R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  <c r="P429" s="77" t="n"/>
      <c r="Q429" s="77" t="n"/>
      <c r="R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  <c r="O430" s="77" t="n"/>
      <c r="P430" s="77" t="n"/>
      <c r="Q430" s="77" t="n"/>
      <c r="R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  <c r="P431" s="77" t="n"/>
      <c r="Q431" s="77" t="n"/>
      <c r="R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  <c r="O432" s="77" t="n"/>
      <c r="P432" s="77" t="n"/>
      <c r="Q432" s="77" t="n"/>
      <c r="R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  <c r="P433" s="77" t="n"/>
      <c r="Q433" s="77" t="n"/>
      <c r="R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  <c r="O434" s="77" t="n"/>
      <c r="P434" s="77" t="n"/>
      <c r="Q434" s="77" t="n"/>
      <c r="R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  <c r="P435" s="77" t="n"/>
      <c r="Q435" s="77" t="n"/>
      <c r="R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  <c r="O436" s="77" t="n"/>
      <c r="P436" s="77" t="n"/>
      <c r="Q436" s="77" t="n"/>
      <c r="R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  <c r="P437" s="77" t="n"/>
      <c r="Q437" s="77" t="n"/>
      <c r="R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  <c r="O438" s="77" t="n"/>
      <c r="P438" s="77" t="n"/>
      <c r="Q438" s="77" t="n"/>
      <c r="R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  <c r="P439" s="77" t="n"/>
      <c r="Q439" s="77" t="n"/>
      <c r="R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  <c r="O440" s="77" t="n"/>
      <c r="P440" s="77" t="n"/>
      <c r="Q440" s="77" t="n"/>
      <c r="R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  <c r="P441" s="77" t="n"/>
      <c r="Q441" s="77" t="n"/>
      <c r="R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  <c r="O442" s="77" t="n"/>
      <c r="P442" s="77" t="n"/>
      <c r="Q442" s="77" t="n"/>
      <c r="R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  <c r="P443" s="77" t="n"/>
      <c r="Q443" s="77" t="n"/>
      <c r="R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  <c r="O444" s="77" t="n"/>
      <c r="P444" s="77" t="n"/>
      <c r="Q444" s="77" t="n"/>
      <c r="R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  <c r="P445" s="77" t="n"/>
      <c r="Q445" s="77" t="n"/>
      <c r="R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  <c r="O446" s="77" t="n"/>
      <c r="P446" s="77" t="n"/>
      <c r="Q446" s="77" t="n"/>
      <c r="R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  <c r="P447" s="77" t="n"/>
      <c r="Q447" s="77" t="n"/>
      <c r="R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  <c r="O448" s="77" t="n"/>
      <c r="P448" s="77" t="n"/>
      <c r="Q448" s="77" t="n"/>
      <c r="R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  <c r="P449" s="77" t="n"/>
      <c r="Q449" s="77" t="n"/>
      <c r="R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  <c r="O450" s="77" t="n"/>
      <c r="P450" s="77" t="n"/>
      <c r="Q450" s="77" t="n"/>
      <c r="R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  <c r="P451" s="77" t="n"/>
      <c r="Q451" s="77" t="n"/>
      <c r="R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  <c r="O452" s="77" t="n"/>
      <c r="P452" s="77" t="n"/>
      <c r="Q452" s="77" t="n"/>
      <c r="R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  <c r="P453" s="77" t="n"/>
      <c r="Q453" s="77" t="n"/>
      <c r="R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  <c r="O454" s="77" t="n"/>
      <c r="P454" s="77" t="n"/>
      <c r="Q454" s="77" t="n"/>
      <c r="R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  <c r="P455" s="77" t="n"/>
      <c r="Q455" s="77" t="n"/>
      <c r="R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  <c r="O456" s="77" t="n"/>
      <c r="P456" s="77" t="n"/>
      <c r="Q456" s="77" t="n"/>
      <c r="R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  <c r="P457" s="77" t="n"/>
      <c r="Q457" s="77" t="n"/>
      <c r="R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  <c r="O458" s="77" t="n"/>
      <c r="P458" s="77" t="n"/>
      <c r="Q458" s="77" t="n"/>
      <c r="R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  <c r="P459" s="77" t="n"/>
      <c r="Q459" s="77" t="n"/>
      <c r="R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  <c r="O460" s="77" t="n"/>
      <c r="P460" s="77" t="n"/>
      <c r="Q460" s="77" t="n"/>
      <c r="R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  <c r="P461" s="77" t="n"/>
      <c r="Q461" s="77" t="n"/>
      <c r="R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  <c r="O462" s="77" t="n"/>
      <c r="P462" s="77" t="n"/>
      <c r="Q462" s="77" t="n"/>
      <c r="R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  <c r="P463" s="77" t="n"/>
      <c r="Q463" s="77" t="n"/>
      <c r="R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  <c r="O464" s="77" t="n"/>
      <c r="P464" s="77" t="n"/>
      <c r="Q464" s="77" t="n"/>
      <c r="R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  <c r="P465" s="77" t="n"/>
      <c r="Q465" s="77" t="n"/>
      <c r="R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  <c r="O466" s="77" t="n"/>
      <c r="P466" s="77" t="n"/>
      <c r="Q466" s="77" t="n"/>
      <c r="R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  <c r="P467" s="77" t="n"/>
      <c r="Q467" s="77" t="n"/>
      <c r="R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  <c r="O468" s="77" t="n"/>
      <c r="P468" s="77" t="n"/>
      <c r="Q468" s="77" t="n"/>
      <c r="R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  <c r="P469" s="77" t="n"/>
      <c r="Q469" s="77" t="n"/>
      <c r="R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  <c r="O470" s="77" t="n"/>
      <c r="P470" s="77" t="n"/>
      <c r="Q470" s="77" t="n"/>
      <c r="R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  <c r="P471" s="77" t="n"/>
      <c r="Q471" s="77" t="n"/>
      <c r="R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  <c r="O472" s="77" t="n"/>
      <c r="P472" s="77" t="n"/>
      <c r="Q472" s="77" t="n"/>
      <c r="R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  <c r="P473" s="77" t="n"/>
      <c r="Q473" s="77" t="n"/>
      <c r="R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  <c r="O474" s="77" t="n"/>
      <c r="P474" s="77" t="n"/>
      <c r="Q474" s="77" t="n"/>
      <c r="R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  <c r="P475" s="77" t="n"/>
      <c r="Q475" s="77" t="n"/>
      <c r="R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  <c r="O476" s="77" t="n"/>
      <c r="P476" s="77" t="n"/>
      <c r="Q476" s="77" t="n"/>
      <c r="R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  <c r="P477" s="77" t="n"/>
      <c r="Q477" s="77" t="n"/>
      <c r="R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  <c r="O478" s="77" t="n"/>
      <c r="P478" s="77" t="n"/>
      <c r="Q478" s="77" t="n"/>
      <c r="R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  <c r="P479" s="77" t="n"/>
      <c r="Q479" s="77" t="n"/>
      <c r="R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  <c r="O480" s="77" t="n"/>
      <c r="P480" s="77" t="n"/>
      <c r="Q480" s="77" t="n"/>
      <c r="R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  <c r="P481" s="77" t="n"/>
      <c r="Q481" s="77" t="n"/>
      <c r="R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  <c r="O482" s="77" t="n"/>
      <c r="P482" s="77" t="n"/>
      <c r="Q482" s="77" t="n"/>
      <c r="R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  <c r="P483" s="77" t="n"/>
      <c r="Q483" s="77" t="n"/>
      <c r="R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  <c r="O484" s="77" t="n"/>
      <c r="P484" s="77" t="n"/>
      <c r="Q484" s="77" t="n"/>
      <c r="R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  <c r="P485" s="77" t="n"/>
      <c r="Q485" s="77" t="n"/>
      <c r="R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  <c r="O486" s="77" t="n"/>
      <c r="P486" s="77" t="n"/>
      <c r="Q486" s="77" t="n"/>
      <c r="R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  <c r="P487" s="77" t="n"/>
      <c r="Q487" s="77" t="n"/>
      <c r="R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  <c r="O488" s="77" t="n"/>
      <c r="P488" s="77" t="n"/>
      <c r="Q488" s="77" t="n"/>
      <c r="R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  <c r="P489" s="77" t="n"/>
      <c r="Q489" s="77" t="n"/>
      <c r="R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  <c r="O490" s="77" t="n"/>
      <c r="P490" s="77" t="n"/>
      <c r="Q490" s="77" t="n"/>
      <c r="R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  <c r="P491" s="77" t="n"/>
      <c r="Q491" s="77" t="n"/>
      <c r="R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  <c r="O492" s="77" t="n"/>
      <c r="P492" s="77" t="n"/>
      <c r="Q492" s="77" t="n"/>
      <c r="R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  <c r="P493" s="77" t="n"/>
      <c r="Q493" s="77" t="n"/>
      <c r="R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  <c r="O494" s="77" t="n"/>
      <c r="P494" s="77" t="n"/>
      <c r="Q494" s="77" t="n"/>
      <c r="R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  <c r="P495" s="77" t="n"/>
      <c r="Q495" s="77" t="n"/>
      <c r="R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  <c r="O496" s="77" t="n"/>
      <c r="P496" s="77" t="n"/>
      <c r="Q496" s="77" t="n"/>
      <c r="R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  <c r="P497" s="77" t="n"/>
      <c r="Q497" s="77" t="n"/>
      <c r="R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  <c r="O498" s="77" t="n"/>
      <c r="P498" s="77" t="n"/>
      <c r="Q498" s="77" t="n"/>
      <c r="R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  <c r="P499" s="77" t="n"/>
      <c r="Q499" s="77" t="n"/>
      <c r="R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  <c r="O500" s="77" t="n"/>
      <c r="P500" s="77" t="n"/>
      <c r="Q500" s="77" t="n"/>
      <c r="R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  <c r="P501" s="77" t="n"/>
      <c r="Q501" s="77" t="n"/>
      <c r="R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  <c r="O502" s="77" t="n"/>
      <c r="P502" s="77" t="n"/>
      <c r="Q502" s="77" t="n"/>
      <c r="R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  <c r="P503" s="77" t="n"/>
      <c r="Q503" s="77" t="n"/>
      <c r="R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  <c r="O504" s="77" t="n"/>
      <c r="P504" s="77" t="n"/>
      <c r="Q504" s="77" t="n"/>
      <c r="R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  <c r="P505" s="77" t="n"/>
      <c r="Q505" s="77" t="n"/>
      <c r="R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  <c r="O506" s="77" t="n"/>
      <c r="P506" s="77" t="n"/>
      <c r="Q506" s="77" t="n"/>
      <c r="R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  <c r="P507" s="77" t="n"/>
      <c r="Q507" s="77" t="n"/>
      <c r="R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  <c r="O508" s="77" t="n"/>
      <c r="P508" s="77" t="n"/>
      <c r="Q508" s="77" t="n"/>
      <c r="R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  <c r="P509" s="77" t="n"/>
      <c r="Q509" s="77" t="n"/>
      <c r="R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  <c r="O510" s="77" t="n"/>
      <c r="P510" s="77" t="n"/>
      <c r="Q510" s="77" t="n"/>
      <c r="R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  <c r="P511" s="77" t="n"/>
      <c r="Q511" s="77" t="n"/>
      <c r="R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  <c r="O512" s="77" t="n"/>
      <c r="P512" s="77" t="n"/>
      <c r="Q512" s="77" t="n"/>
      <c r="R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  <c r="P513" s="77" t="n"/>
      <c r="Q513" s="77" t="n"/>
      <c r="R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  <c r="O514" s="77" t="n"/>
      <c r="P514" s="77" t="n"/>
      <c r="Q514" s="77" t="n"/>
      <c r="R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  <c r="P515" s="77" t="n"/>
      <c r="Q515" s="77" t="n"/>
      <c r="R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  <c r="O516" s="77" t="n"/>
      <c r="P516" s="77" t="n"/>
      <c r="Q516" s="77" t="n"/>
      <c r="R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  <c r="P517" s="77" t="n"/>
      <c r="Q517" s="77" t="n"/>
      <c r="R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  <c r="O518" s="77" t="n"/>
      <c r="P518" s="77" t="n"/>
      <c r="Q518" s="77" t="n"/>
      <c r="R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  <c r="P519" s="77" t="n"/>
      <c r="Q519" s="77" t="n"/>
      <c r="R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  <c r="O520" s="77" t="n"/>
      <c r="P520" s="77" t="n"/>
      <c r="Q520" s="77" t="n"/>
      <c r="R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  <c r="P521" s="77" t="n"/>
      <c r="Q521" s="77" t="n"/>
      <c r="R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  <c r="O522" s="77" t="n"/>
      <c r="P522" s="77" t="n"/>
      <c r="Q522" s="77" t="n"/>
      <c r="R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  <c r="P523" s="77" t="n"/>
      <c r="Q523" s="77" t="n"/>
      <c r="R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  <c r="O524" s="77" t="n"/>
      <c r="P524" s="77" t="n"/>
      <c r="Q524" s="77" t="n"/>
      <c r="R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  <c r="P525" s="77" t="n"/>
      <c r="Q525" s="77" t="n"/>
      <c r="R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  <c r="O526" s="77" t="n"/>
      <c r="P526" s="77" t="n"/>
      <c r="Q526" s="77" t="n"/>
      <c r="R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  <c r="P527" s="77" t="n"/>
      <c r="Q527" s="77" t="n"/>
      <c r="R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  <c r="O528" s="77" t="n"/>
      <c r="P528" s="77" t="n"/>
      <c r="Q528" s="77" t="n"/>
      <c r="R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  <c r="P529" s="77" t="n"/>
      <c r="Q529" s="77" t="n"/>
      <c r="R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  <c r="O530" s="77" t="n"/>
      <c r="P530" s="77" t="n"/>
      <c r="Q530" s="77" t="n"/>
      <c r="R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  <c r="P531" s="77" t="n"/>
      <c r="Q531" s="77" t="n"/>
      <c r="R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  <c r="O532" s="77" t="n"/>
      <c r="P532" s="77" t="n"/>
      <c r="Q532" s="77" t="n"/>
      <c r="R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  <c r="P533" s="77" t="n"/>
      <c r="Q533" s="77" t="n"/>
      <c r="R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  <c r="O534" s="77" t="n"/>
      <c r="P534" s="77" t="n"/>
      <c r="Q534" s="77" t="n"/>
      <c r="R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  <c r="P535" s="77" t="n"/>
      <c r="Q535" s="77" t="n"/>
      <c r="R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  <c r="O536" s="77" t="n"/>
      <c r="P536" s="77" t="n"/>
      <c r="Q536" s="77" t="n"/>
      <c r="R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  <c r="P537" s="77" t="n"/>
      <c r="Q537" s="77" t="n"/>
      <c r="R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  <c r="O538" s="77" t="n"/>
      <c r="P538" s="77" t="n"/>
      <c r="Q538" s="77" t="n"/>
      <c r="R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  <c r="P539" s="77" t="n"/>
      <c r="Q539" s="77" t="n"/>
      <c r="R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  <c r="O540" s="77" t="n"/>
      <c r="P540" s="77" t="n"/>
      <c r="Q540" s="77" t="n"/>
      <c r="R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  <c r="P541" s="77" t="n"/>
      <c r="Q541" s="77" t="n"/>
      <c r="R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  <c r="O542" s="77" t="n"/>
      <c r="P542" s="77" t="n"/>
      <c r="Q542" s="77" t="n"/>
      <c r="R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  <c r="P543" s="77" t="n"/>
      <c r="Q543" s="77" t="n"/>
      <c r="R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  <c r="O544" s="77" t="n"/>
      <c r="P544" s="77" t="n"/>
      <c r="Q544" s="77" t="n"/>
      <c r="R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  <c r="P545" s="77" t="n"/>
      <c r="Q545" s="77" t="n"/>
      <c r="R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  <c r="O546" s="77" t="n"/>
      <c r="P546" s="77" t="n"/>
      <c r="Q546" s="77" t="n"/>
      <c r="R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  <c r="P547" s="77" t="n"/>
      <c r="Q547" s="77" t="n"/>
      <c r="R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  <c r="O548" s="77" t="n"/>
      <c r="P548" s="77" t="n"/>
      <c r="Q548" s="77" t="n"/>
      <c r="R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  <c r="P549" s="77" t="n"/>
      <c r="Q549" s="77" t="n"/>
      <c r="R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  <c r="O550" s="77" t="n"/>
      <c r="P550" s="77" t="n"/>
      <c r="Q550" s="77" t="n"/>
      <c r="R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  <c r="P551" s="77" t="n"/>
      <c r="Q551" s="77" t="n"/>
      <c r="R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  <c r="O552" s="77" t="n"/>
      <c r="P552" s="77" t="n"/>
      <c r="Q552" s="77" t="n"/>
      <c r="R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  <c r="P553" s="77" t="n"/>
      <c r="Q553" s="77" t="n"/>
      <c r="R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  <c r="O554" s="77" t="n"/>
      <c r="P554" s="77" t="n"/>
      <c r="Q554" s="77" t="n"/>
      <c r="R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  <c r="P555" s="77" t="n"/>
      <c r="Q555" s="77" t="n"/>
      <c r="R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  <c r="O556" s="77" t="n"/>
      <c r="P556" s="77" t="n"/>
      <c r="Q556" s="77" t="n"/>
      <c r="R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  <c r="P557" s="77" t="n"/>
      <c r="Q557" s="77" t="n"/>
      <c r="R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  <c r="O558" s="77" t="n"/>
      <c r="P558" s="77" t="n"/>
      <c r="Q558" s="77" t="n"/>
      <c r="R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  <c r="P559" s="77" t="n"/>
      <c r="Q559" s="77" t="n"/>
      <c r="R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  <c r="O560" s="77" t="n"/>
      <c r="P560" s="77" t="n"/>
      <c r="Q560" s="77" t="n"/>
      <c r="R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  <c r="P561" s="77" t="n"/>
      <c r="Q561" s="77" t="n"/>
      <c r="R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  <c r="O562" s="77" t="n"/>
      <c r="P562" s="77" t="n"/>
      <c r="Q562" s="77" t="n"/>
      <c r="R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  <c r="P563" s="77" t="n"/>
      <c r="Q563" s="77" t="n"/>
      <c r="R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  <c r="O564" s="77" t="n"/>
      <c r="P564" s="77" t="n"/>
      <c r="Q564" s="77" t="n"/>
      <c r="R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  <c r="P565" s="77" t="n"/>
      <c r="Q565" s="77" t="n"/>
      <c r="R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  <c r="O566" s="77" t="n"/>
      <c r="P566" s="77" t="n"/>
      <c r="Q566" s="77" t="n"/>
      <c r="R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  <c r="P567" s="77" t="n"/>
      <c r="Q567" s="77" t="n"/>
      <c r="R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  <c r="O568" s="77" t="n"/>
      <c r="P568" s="77" t="n"/>
      <c r="Q568" s="77" t="n"/>
      <c r="R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  <c r="P569" s="77" t="n"/>
      <c r="Q569" s="77" t="n"/>
      <c r="R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  <c r="O570" s="77" t="n"/>
      <c r="P570" s="77" t="n"/>
      <c r="Q570" s="77" t="n"/>
      <c r="R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  <c r="P571" s="77" t="n"/>
      <c r="Q571" s="77" t="n"/>
      <c r="R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  <c r="O572" s="77" t="n"/>
      <c r="P572" s="77" t="n"/>
      <c r="Q572" s="77" t="n"/>
      <c r="R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  <c r="P573" s="77" t="n"/>
      <c r="Q573" s="77" t="n"/>
      <c r="R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  <c r="O574" s="77" t="n"/>
      <c r="P574" s="77" t="n"/>
      <c r="Q574" s="77" t="n"/>
      <c r="R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  <c r="P575" s="77" t="n"/>
      <c r="Q575" s="77" t="n"/>
      <c r="R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  <c r="O576" s="77" t="n"/>
      <c r="P576" s="77" t="n"/>
      <c r="Q576" s="77" t="n"/>
      <c r="R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  <c r="P577" s="77" t="n"/>
      <c r="Q577" s="77" t="n"/>
      <c r="R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  <c r="O578" s="77" t="n"/>
      <c r="P578" s="77" t="n"/>
      <c r="Q578" s="77" t="n"/>
      <c r="R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  <c r="P579" s="77" t="n"/>
      <c r="Q579" s="77" t="n"/>
      <c r="R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  <c r="O580" s="77" t="n"/>
      <c r="P580" s="77" t="n"/>
      <c r="Q580" s="77" t="n"/>
      <c r="R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  <c r="P581" s="77" t="n"/>
      <c r="Q581" s="77" t="n"/>
      <c r="R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  <c r="O582" s="77" t="n"/>
      <c r="P582" s="77" t="n"/>
      <c r="Q582" s="77" t="n"/>
      <c r="R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  <c r="P583" s="77" t="n"/>
      <c r="Q583" s="77" t="n"/>
      <c r="R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  <c r="O584" s="77" t="n"/>
      <c r="P584" s="77" t="n"/>
      <c r="Q584" s="77" t="n"/>
      <c r="R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  <c r="P585" s="77" t="n"/>
      <c r="Q585" s="77" t="n"/>
      <c r="R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  <c r="O586" s="77" t="n"/>
      <c r="P586" s="77" t="n"/>
      <c r="Q586" s="77" t="n"/>
      <c r="R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  <c r="P587" s="77" t="n"/>
      <c r="Q587" s="77" t="n"/>
      <c r="R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  <c r="O588" s="77" t="n"/>
      <c r="P588" s="77" t="n"/>
      <c r="Q588" s="77" t="n"/>
      <c r="R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  <c r="P589" s="77" t="n"/>
      <c r="Q589" s="77" t="n"/>
      <c r="R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  <c r="O590" s="77" t="n"/>
      <c r="P590" s="77" t="n"/>
      <c r="Q590" s="77" t="n"/>
      <c r="R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  <c r="P591" s="77" t="n"/>
      <c r="Q591" s="77" t="n"/>
      <c r="R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  <c r="O592" s="77" t="n"/>
      <c r="P592" s="77" t="n"/>
      <c r="Q592" s="77" t="n"/>
      <c r="R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  <c r="P593" s="77" t="n"/>
      <c r="Q593" s="77" t="n"/>
      <c r="R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  <c r="O594" s="77" t="n"/>
      <c r="P594" s="77" t="n"/>
      <c r="Q594" s="77" t="n"/>
      <c r="R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  <c r="P595" s="77" t="n"/>
      <c r="Q595" s="77" t="n"/>
      <c r="R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  <c r="O596" s="77" t="n"/>
      <c r="P596" s="77" t="n"/>
      <c r="Q596" s="77" t="n"/>
      <c r="R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  <c r="P597" s="77" t="n"/>
      <c r="Q597" s="77" t="n"/>
      <c r="R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  <c r="O598" s="77" t="n"/>
      <c r="P598" s="77" t="n"/>
      <c r="Q598" s="77" t="n"/>
      <c r="R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  <c r="P599" s="77" t="n"/>
      <c r="Q599" s="77" t="n"/>
      <c r="R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  <c r="O600" s="77" t="n"/>
      <c r="P600" s="77" t="n"/>
      <c r="Q600" s="77" t="n"/>
      <c r="R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  <c r="P601" s="77" t="n"/>
      <c r="Q601" s="77" t="n"/>
      <c r="R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  <c r="O602" s="77" t="n"/>
      <c r="P602" s="77" t="n"/>
      <c r="Q602" s="77" t="n"/>
      <c r="R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  <c r="P603" s="77" t="n"/>
      <c r="Q603" s="77" t="n"/>
      <c r="R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  <c r="O604" s="77" t="n"/>
      <c r="P604" s="77" t="n"/>
      <c r="Q604" s="77" t="n"/>
      <c r="R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  <c r="P605" s="77" t="n"/>
      <c r="Q605" s="77" t="n"/>
      <c r="R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  <c r="O606" s="77" t="n"/>
      <c r="P606" s="77" t="n"/>
      <c r="Q606" s="77" t="n"/>
      <c r="R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  <c r="P607" s="77" t="n"/>
      <c r="Q607" s="77" t="n"/>
      <c r="R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  <c r="O608" s="77" t="n"/>
      <c r="P608" s="77" t="n"/>
      <c r="Q608" s="77" t="n"/>
      <c r="R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  <c r="P609" s="77" t="n"/>
      <c r="Q609" s="77" t="n"/>
      <c r="R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  <c r="O610" s="77" t="n"/>
      <c r="P610" s="77" t="n"/>
      <c r="Q610" s="77" t="n"/>
      <c r="R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  <c r="P611" s="77" t="n"/>
      <c r="Q611" s="77" t="n"/>
      <c r="R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  <c r="O612" s="77" t="n"/>
      <c r="P612" s="77" t="n"/>
      <c r="Q612" s="77" t="n"/>
      <c r="R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  <c r="P613" s="77" t="n"/>
      <c r="Q613" s="77" t="n"/>
      <c r="R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  <c r="O614" s="77" t="n"/>
      <c r="P614" s="77" t="n"/>
      <c r="Q614" s="77" t="n"/>
      <c r="R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  <c r="P615" s="77" t="n"/>
      <c r="Q615" s="77" t="n"/>
      <c r="R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  <c r="O616" s="77" t="n"/>
      <c r="P616" s="77" t="n"/>
      <c r="Q616" s="77" t="n"/>
      <c r="R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  <c r="P617" s="77" t="n"/>
      <c r="Q617" s="77" t="n"/>
      <c r="R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  <c r="O618" s="77" t="n"/>
      <c r="P618" s="77" t="n"/>
      <c r="Q618" s="77" t="n"/>
      <c r="R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  <c r="P619" s="77" t="n"/>
      <c r="Q619" s="77" t="n"/>
      <c r="R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  <c r="O620" s="77" t="n"/>
      <c r="P620" s="77" t="n"/>
      <c r="Q620" s="77" t="n"/>
      <c r="R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  <c r="P621" s="77" t="n"/>
      <c r="Q621" s="77" t="n"/>
      <c r="R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  <c r="O622" s="77" t="n"/>
      <c r="P622" s="77" t="n"/>
      <c r="Q622" s="77" t="n"/>
      <c r="R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  <c r="P623" s="77" t="n"/>
      <c r="Q623" s="77" t="n"/>
      <c r="R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  <c r="O624" s="77" t="n"/>
      <c r="P624" s="77" t="n"/>
      <c r="Q624" s="77" t="n"/>
      <c r="R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  <c r="P625" s="77" t="n"/>
      <c r="Q625" s="77" t="n"/>
      <c r="R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  <c r="O626" s="77" t="n"/>
      <c r="P626" s="77" t="n"/>
      <c r="Q626" s="77" t="n"/>
      <c r="R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  <c r="P627" s="77" t="n"/>
      <c r="Q627" s="77" t="n"/>
      <c r="R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  <c r="O628" s="77" t="n"/>
      <c r="P628" s="77" t="n"/>
      <c r="Q628" s="77" t="n"/>
      <c r="R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  <c r="P629" s="77" t="n"/>
      <c r="Q629" s="77" t="n"/>
      <c r="R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  <c r="O630" s="77" t="n"/>
      <c r="P630" s="77" t="n"/>
      <c r="Q630" s="77" t="n"/>
      <c r="R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  <c r="P631" s="77" t="n"/>
      <c r="Q631" s="77" t="n"/>
      <c r="R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  <c r="O632" s="77" t="n"/>
      <c r="P632" s="77" t="n"/>
      <c r="Q632" s="77" t="n"/>
      <c r="R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  <c r="P633" s="77" t="n"/>
      <c r="Q633" s="77" t="n"/>
      <c r="R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  <c r="O634" s="77" t="n"/>
      <c r="P634" s="77" t="n"/>
      <c r="Q634" s="77" t="n"/>
      <c r="R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  <c r="P635" s="77" t="n"/>
      <c r="Q635" s="77" t="n"/>
      <c r="R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  <c r="O636" s="77" t="n"/>
      <c r="P636" s="77" t="n"/>
      <c r="Q636" s="77" t="n"/>
      <c r="R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  <c r="P637" s="77" t="n"/>
      <c r="Q637" s="77" t="n"/>
      <c r="R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  <c r="O638" s="77" t="n"/>
      <c r="P638" s="77" t="n"/>
      <c r="Q638" s="77" t="n"/>
      <c r="R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  <c r="P639" s="77" t="n"/>
      <c r="Q639" s="77" t="n"/>
      <c r="R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  <c r="O640" s="77" t="n"/>
      <c r="P640" s="77" t="n"/>
      <c r="Q640" s="77" t="n"/>
      <c r="R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  <c r="P641" s="77" t="n"/>
      <c r="Q641" s="77" t="n"/>
      <c r="R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  <c r="O642" s="77" t="n"/>
      <c r="P642" s="77" t="n"/>
      <c r="Q642" s="77" t="n"/>
      <c r="R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  <c r="P643" s="77" t="n"/>
      <c r="Q643" s="77" t="n"/>
      <c r="R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  <c r="O644" s="77" t="n"/>
      <c r="P644" s="77" t="n"/>
      <c r="Q644" s="77" t="n"/>
      <c r="R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  <c r="P645" s="77" t="n"/>
      <c r="Q645" s="77" t="n"/>
      <c r="R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  <c r="O646" s="77" t="n"/>
      <c r="P646" s="77" t="n"/>
      <c r="Q646" s="77" t="n"/>
      <c r="R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  <c r="P647" s="77" t="n"/>
      <c r="Q647" s="77" t="n"/>
      <c r="R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  <c r="O648" s="77" t="n"/>
      <c r="P648" s="77" t="n"/>
      <c r="Q648" s="77" t="n"/>
      <c r="R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  <c r="P649" s="77" t="n"/>
      <c r="Q649" s="77" t="n"/>
      <c r="R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  <c r="O650" s="77" t="n"/>
      <c r="P650" s="77" t="n"/>
      <c r="Q650" s="77" t="n"/>
      <c r="R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  <c r="P651" s="77" t="n"/>
      <c r="Q651" s="77" t="n"/>
      <c r="R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  <c r="O652" s="77" t="n"/>
      <c r="P652" s="77" t="n"/>
      <c r="Q652" s="77" t="n"/>
      <c r="R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  <c r="P653" s="77" t="n"/>
      <c r="Q653" s="77" t="n"/>
      <c r="R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  <c r="O654" s="77" t="n"/>
      <c r="P654" s="77" t="n"/>
      <c r="Q654" s="77" t="n"/>
      <c r="R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  <c r="P655" s="77" t="n"/>
      <c r="Q655" s="77" t="n"/>
      <c r="R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  <c r="O656" s="77" t="n"/>
      <c r="P656" s="77" t="n"/>
      <c r="Q656" s="77" t="n"/>
      <c r="R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  <c r="P657" s="77" t="n"/>
      <c r="Q657" s="77" t="n"/>
      <c r="R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  <c r="O658" s="77" t="n"/>
      <c r="P658" s="77" t="n"/>
      <c r="Q658" s="77" t="n"/>
      <c r="R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  <c r="P659" s="77" t="n"/>
      <c r="Q659" s="77" t="n"/>
      <c r="R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  <c r="O660" s="77" t="n"/>
      <c r="P660" s="77" t="n"/>
      <c r="Q660" s="77" t="n"/>
      <c r="R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  <c r="P661" s="77" t="n"/>
      <c r="Q661" s="77" t="n"/>
      <c r="R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  <c r="O662" s="77" t="n"/>
      <c r="P662" s="77" t="n"/>
      <c r="Q662" s="77" t="n"/>
      <c r="R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  <c r="P663" s="77" t="n"/>
      <c r="Q663" s="77" t="n"/>
      <c r="R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  <c r="O664" s="77" t="n"/>
      <c r="P664" s="77" t="n"/>
      <c r="Q664" s="77" t="n"/>
      <c r="R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  <c r="P665" s="77" t="n"/>
      <c r="Q665" s="77" t="n"/>
      <c r="R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  <c r="O666" s="77" t="n"/>
      <c r="P666" s="77" t="n"/>
      <c r="Q666" s="77" t="n"/>
      <c r="R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  <c r="P667" s="77" t="n"/>
      <c r="Q667" s="77" t="n"/>
      <c r="R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  <c r="O668" s="77" t="n"/>
      <c r="P668" s="77" t="n"/>
      <c r="Q668" s="77" t="n"/>
      <c r="R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  <c r="P669" s="77" t="n"/>
      <c r="Q669" s="77" t="n"/>
      <c r="R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  <c r="O670" s="77" t="n"/>
      <c r="P670" s="77" t="n"/>
      <c r="Q670" s="77" t="n"/>
      <c r="R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  <c r="P671" s="77" t="n"/>
      <c r="Q671" s="77" t="n"/>
      <c r="R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  <c r="O672" s="77" t="n"/>
      <c r="P672" s="77" t="n"/>
      <c r="Q672" s="77" t="n"/>
      <c r="R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  <c r="P673" s="77" t="n"/>
      <c r="Q673" s="77" t="n"/>
      <c r="R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  <c r="O674" s="77" t="n"/>
      <c r="P674" s="77" t="n"/>
      <c r="Q674" s="77" t="n"/>
      <c r="R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  <c r="P675" s="77" t="n"/>
      <c r="Q675" s="77" t="n"/>
      <c r="R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  <c r="O676" s="77" t="n"/>
      <c r="P676" s="77" t="n"/>
      <c r="Q676" s="77" t="n"/>
      <c r="R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  <c r="P677" s="77" t="n"/>
      <c r="Q677" s="77" t="n"/>
      <c r="R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  <c r="O678" s="77" t="n"/>
      <c r="P678" s="77" t="n"/>
      <c r="Q678" s="77" t="n"/>
      <c r="R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  <c r="P679" s="77" t="n"/>
      <c r="Q679" s="77" t="n"/>
      <c r="R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  <c r="O680" s="77" t="n"/>
      <c r="P680" s="77" t="n"/>
      <c r="Q680" s="77" t="n"/>
      <c r="R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  <c r="P681" s="77" t="n"/>
      <c r="Q681" s="77" t="n"/>
      <c r="R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  <c r="O682" s="77" t="n"/>
      <c r="P682" s="77" t="n"/>
      <c r="Q682" s="77" t="n"/>
      <c r="R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  <c r="P683" s="77" t="n"/>
      <c r="Q683" s="77" t="n"/>
      <c r="R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  <c r="O684" s="77" t="n"/>
      <c r="P684" s="77" t="n"/>
      <c r="Q684" s="77" t="n"/>
      <c r="R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  <c r="P685" s="77" t="n"/>
      <c r="Q685" s="77" t="n"/>
      <c r="R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  <c r="O686" s="77" t="n"/>
      <c r="P686" s="77" t="n"/>
      <c r="Q686" s="77" t="n"/>
      <c r="R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  <c r="P687" s="77" t="n"/>
      <c r="Q687" s="77" t="n"/>
      <c r="R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  <c r="O688" s="77" t="n"/>
      <c r="P688" s="77" t="n"/>
      <c r="Q688" s="77" t="n"/>
      <c r="R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  <c r="P689" s="77" t="n"/>
      <c r="Q689" s="77" t="n"/>
      <c r="R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  <c r="O690" s="77" t="n"/>
      <c r="P690" s="77" t="n"/>
      <c r="Q690" s="77" t="n"/>
      <c r="R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  <c r="P691" s="77" t="n"/>
      <c r="Q691" s="77" t="n"/>
      <c r="R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  <c r="O692" s="77" t="n"/>
      <c r="P692" s="77" t="n"/>
      <c r="Q692" s="77" t="n"/>
      <c r="R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  <c r="P693" s="77" t="n"/>
      <c r="Q693" s="77" t="n"/>
      <c r="R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  <c r="O694" s="77" t="n"/>
      <c r="P694" s="77" t="n"/>
      <c r="Q694" s="77" t="n"/>
      <c r="R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  <c r="P695" s="77" t="n"/>
      <c r="Q695" s="77" t="n"/>
      <c r="R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  <c r="O696" s="77" t="n"/>
      <c r="P696" s="77" t="n"/>
      <c r="Q696" s="77" t="n"/>
      <c r="R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  <c r="P697" s="77" t="n"/>
      <c r="Q697" s="77" t="n"/>
      <c r="R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  <c r="O698" s="77" t="n"/>
      <c r="P698" s="77" t="n"/>
      <c r="Q698" s="77" t="n"/>
      <c r="R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  <c r="P699" s="77" t="n"/>
      <c r="Q699" s="77" t="n"/>
      <c r="R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  <c r="O700" s="77" t="n"/>
      <c r="P700" s="77" t="n"/>
      <c r="Q700" s="77" t="n"/>
      <c r="R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  <c r="P701" s="77" t="n"/>
      <c r="Q701" s="77" t="n"/>
      <c r="R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  <c r="O702" s="77" t="n"/>
      <c r="P702" s="77" t="n"/>
      <c r="Q702" s="77" t="n"/>
      <c r="R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  <c r="P703" s="77" t="n"/>
      <c r="Q703" s="77" t="n"/>
      <c r="R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  <c r="O704" s="77" t="n"/>
      <c r="P704" s="77" t="n"/>
      <c r="Q704" s="77" t="n"/>
      <c r="R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  <c r="P705" s="77" t="n"/>
      <c r="Q705" s="77" t="n"/>
      <c r="R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  <c r="O706" s="77" t="n"/>
      <c r="P706" s="77" t="n"/>
      <c r="Q706" s="77" t="n"/>
      <c r="R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  <c r="P707" s="77" t="n"/>
      <c r="Q707" s="77" t="n"/>
      <c r="R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  <c r="O708" s="77" t="n"/>
      <c r="P708" s="77" t="n"/>
      <c r="Q708" s="77" t="n"/>
      <c r="R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  <c r="P709" s="77" t="n"/>
      <c r="Q709" s="77" t="n"/>
      <c r="R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  <c r="O710" s="77" t="n"/>
      <c r="P710" s="77" t="n"/>
      <c r="Q710" s="77" t="n"/>
      <c r="R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  <c r="P711" s="77" t="n"/>
      <c r="Q711" s="77" t="n"/>
      <c r="R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  <c r="O712" s="77" t="n"/>
      <c r="P712" s="77" t="n"/>
      <c r="Q712" s="77" t="n"/>
      <c r="R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  <c r="P713" s="77" t="n"/>
      <c r="Q713" s="77" t="n"/>
      <c r="R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  <c r="O714" s="77" t="n"/>
      <c r="P714" s="77" t="n"/>
      <c r="Q714" s="77" t="n"/>
      <c r="R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  <c r="P715" s="77" t="n"/>
      <c r="Q715" s="77" t="n"/>
      <c r="R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  <c r="O716" s="77" t="n"/>
      <c r="P716" s="77" t="n"/>
      <c r="Q716" s="77" t="n"/>
      <c r="R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  <c r="P717" s="77" t="n"/>
      <c r="Q717" s="77" t="n"/>
      <c r="R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  <c r="O718" s="77" t="n"/>
      <c r="P718" s="77" t="n"/>
      <c r="Q718" s="77" t="n"/>
      <c r="R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  <c r="P719" s="77" t="n"/>
      <c r="Q719" s="77" t="n"/>
      <c r="R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  <c r="O720" s="77" t="n"/>
      <c r="P720" s="77" t="n"/>
      <c r="Q720" s="77" t="n"/>
      <c r="R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  <c r="P721" s="77" t="n"/>
      <c r="Q721" s="77" t="n"/>
      <c r="R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  <c r="O722" s="77" t="n"/>
      <c r="P722" s="77" t="n"/>
      <c r="Q722" s="77" t="n"/>
      <c r="R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  <c r="P723" s="77" t="n"/>
      <c r="Q723" s="77" t="n"/>
      <c r="R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  <c r="O724" s="77" t="n"/>
      <c r="P724" s="77" t="n"/>
      <c r="Q724" s="77" t="n"/>
      <c r="R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  <c r="P725" s="77" t="n"/>
      <c r="Q725" s="77" t="n"/>
      <c r="R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  <c r="O726" s="77" t="n"/>
      <c r="P726" s="77" t="n"/>
      <c r="Q726" s="77" t="n"/>
      <c r="R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  <c r="P727" s="77" t="n"/>
      <c r="Q727" s="77" t="n"/>
      <c r="R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  <c r="O728" s="77" t="n"/>
      <c r="P728" s="77" t="n"/>
      <c r="Q728" s="77" t="n"/>
      <c r="R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  <c r="P729" s="77" t="n"/>
      <c r="Q729" s="77" t="n"/>
      <c r="R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  <c r="O730" s="77" t="n"/>
      <c r="P730" s="77" t="n"/>
      <c r="Q730" s="77" t="n"/>
      <c r="R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  <c r="P731" s="77" t="n"/>
      <c r="Q731" s="77" t="n"/>
      <c r="R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  <c r="O732" s="77" t="n"/>
      <c r="P732" s="77" t="n"/>
      <c r="Q732" s="77" t="n"/>
      <c r="R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  <c r="P733" s="77" t="n"/>
      <c r="Q733" s="77" t="n"/>
      <c r="R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  <c r="O734" s="77" t="n"/>
      <c r="P734" s="77" t="n"/>
      <c r="Q734" s="77" t="n"/>
      <c r="R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  <c r="P735" s="77" t="n"/>
      <c r="Q735" s="77" t="n"/>
      <c r="R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  <c r="O736" s="77" t="n"/>
      <c r="P736" s="77" t="n"/>
      <c r="Q736" s="77" t="n"/>
      <c r="R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  <c r="P737" s="77" t="n"/>
      <c r="Q737" s="77" t="n"/>
      <c r="R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  <c r="O738" s="77" t="n"/>
      <c r="P738" s="77" t="n"/>
      <c r="Q738" s="77" t="n"/>
      <c r="R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  <c r="P739" s="77" t="n"/>
      <c r="Q739" s="77" t="n"/>
      <c r="R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  <c r="O740" s="77" t="n"/>
      <c r="P740" s="77" t="n"/>
      <c r="Q740" s="77" t="n"/>
      <c r="R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  <c r="P741" s="77" t="n"/>
      <c r="Q741" s="77" t="n"/>
      <c r="R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  <c r="O742" s="77" t="n"/>
      <c r="P742" s="77" t="n"/>
      <c r="Q742" s="77" t="n"/>
      <c r="R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  <c r="P743" s="77" t="n"/>
      <c r="Q743" s="77" t="n"/>
      <c r="R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  <c r="O744" s="77" t="n"/>
      <c r="P744" s="77" t="n"/>
      <c r="Q744" s="77" t="n"/>
      <c r="R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  <c r="P745" s="77" t="n"/>
      <c r="Q745" s="77" t="n"/>
      <c r="R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  <c r="O746" s="77" t="n"/>
      <c r="P746" s="77" t="n"/>
      <c r="Q746" s="77" t="n"/>
      <c r="R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  <c r="P747" s="77" t="n"/>
      <c r="Q747" s="77" t="n"/>
      <c r="R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  <c r="O748" s="77" t="n"/>
      <c r="P748" s="77" t="n"/>
      <c r="Q748" s="77" t="n"/>
      <c r="R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  <c r="P749" s="77" t="n"/>
      <c r="Q749" s="77" t="n"/>
      <c r="R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  <c r="O750" s="77" t="n"/>
      <c r="P750" s="77" t="n"/>
      <c r="Q750" s="77" t="n"/>
      <c r="R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  <c r="P751" s="77" t="n"/>
      <c r="Q751" s="77" t="n"/>
      <c r="R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  <c r="O752" s="77" t="n"/>
      <c r="P752" s="77" t="n"/>
      <c r="Q752" s="77" t="n"/>
      <c r="R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  <c r="P753" s="77" t="n"/>
      <c r="Q753" s="77" t="n"/>
      <c r="R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  <c r="O754" s="77" t="n"/>
      <c r="P754" s="77" t="n"/>
      <c r="Q754" s="77" t="n"/>
      <c r="R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  <c r="P755" s="77" t="n"/>
      <c r="Q755" s="77" t="n"/>
      <c r="R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  <c r="O756" s="77" t="n"/>
      <c r="P756" s="77" t="n"/>
      <c r="Q756" s="77" t="n"/>
      <c r="R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  <c r="P757" s="77" t="n"/>
      <c r="Q757" s="77" t="n"/>
      <c r="R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  <c r="O758" s="77" t="n"/>
      <c r="P758" s="77" t="n"/>
      <c r="Q758" s="77" t="n"/>
      <c r="R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  <c r="P759" s="77" t="n"/>
      <c r="Q759" s="77" t="n"/>
      <c r="R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  <c r="O760" s="77" t="n"/>
      <c r="P760" s="77" t="n"/>
      <c r="Q760" s="77" t="n"/>
      <c r="R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  <c r="P761" s="77" t="n"/>
      <c r="Q761" s="77" t="n"/>
      <c r="R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  <c r="O762" s="77" t="n"/>
      <c r="P762" s="77" t="n"/>
      <c r="Q762" s="77" t="n"/>
      <c r="R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  <c r="P763" s="77" t="n"/>
      <c r="Q763" s="77" t="n"/>
      <c r="R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  <c r="O764" s="77" t="n"/>
      <c r="P764" s="77" t="n"/>
      <c r="Q764" s="77" t="n"/>
      <c r="R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  <c r="P765" s="77" t="n"/>
      <c r="Q765" s="77" t="n"/>
      <c r="R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  <c r="O766" s="77" t="n"/>
      <c r="P766" s="77" t="n"/>
      <c r="Q766" s="77" t="n"/>
      <c r="R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  <c r="P767" s="77" t="n"/>
      <c r="Q767" s="77" t="n"/>
      <c r="R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  <c r="O768" s="77" t="n"/>
      <c r="P768" s="77" t="n"/>
      <c r="Q768" s="77" t="n"/>
      <c r="R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  <c r="P769" s="77" t="n"/>
      <c r="Q769" s="77" t="n"/>
      <c r="R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  <c r="O770" s="77" t="n"/>
      <c r="P770" s="77" t="n"/>
      <c r="Q770" s="77" t="n"/>
      <c r="R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  <c r="P771" s="77" t="n"/>
      <c r="Q771" s="77" t="n"/>
      <c r="R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  <c r="O772" s="77" t="n"/>
      <c r="P772" s="77" t="n"/>
      <c r="Q772" s="77" t="n"/>
      <c r="R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  <c r="P773" s="77" t="n"/>
      <c r="Q773" s="77" t="n"/>
      <c r="R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  <c r="O774" s="77" t="n"/>
      <c r="P774" s="77" t="n"/>
      <c r="Q774" s="77" t="n"/>
      <c r="R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  <c r="P775" s="77" t="n"/>
      <c r="Q775" s="77" t="n"/>
      <c r="R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  <c r="O776" s="77" t="n"/>
      <c r="P776" s="77" t="n"/>
      <c r="Q776" s="77" t="n"/>
      <c r="R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  <c r="P777" s="77" t="n"/>
      <c r="Q777" s="77" t="n"/>
      <c r="R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  <c r="O778" s="77" t="n"/>
      <c r="P778" s="77" t="n"/>
      <c r="Q778" s="77" t="n"/>
      <c r="R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  <c r="P779" s="77" t="n"/>
      <c r="Q779" s="77" t="n"/>
      <c r="R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  <c r="O780" s="77" t="n"/>
      <c r="P780" s="77" t="n"/>
      <c r="Q780" s="77" t="n"/>
      <c r="R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  <c r="P781" s="77" t="n"/>
      <c r="Q781" s="77" t="n"/>
      <c r="R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  <c r="O782" s="77" t="n"/>
      <c r="P782" s="77" t="n"/>
      <c r="Q782" s="77" t="n"/>
      <c r="R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  <c r="P783" s="77" t="n"/>
      <c r="Q783" s="77" t="n"/>
      <c r="R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  <c r="O784" s="77" t="n"/>
      <c r="P784" s="77" t="n"/>
      <c r="Q784" s="77" t="n"/>
      <c r="R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  <c r="P785" s="77" t="n"/>
      <c r="Q785" s="77" t="n"/>
      <c r="R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  <c r="O786" s="77" t="n"/>
      <c r="P786" s="77" t="n"/>
      <c r="Q786" s="77" t="n"/>
      <c r="R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  <c r="P787" s="77" t="n"/>
      <c r="Q787" s="77" t="n"/>
      <c r="R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  <c r="O788" s="77" t="n"/>
      <c r="P788" s="77" t="n"/>
      <c r="Q788" s="77" t="n"/>
      <c r="R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  <c r="P789" s="77" t="n"/>
      <c r="Q789" s="77" t="n"/>
      <c r="R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  <c r="O790" s="77" t="n"/>
      <c r="P790" s="77" t="n"/>
      <c r="Q790" s="77" t="n"/>
      <c r="R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  <c r="P791" s="77" t="n"/>
      <c r="Q791" s="77" t="n"/>
      <c r="R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  <c r="O792" s="77" t="n"/>
      <c r="P792" s="77" t="n"/>
      <c r="Q792" s="77" t="n"/>
      <c r="R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  <c r="P793" s="77" t="n"/>
      <c r="Q793" s="77" t="n"/>
      <c r="R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  <c r="O794" s="77" t="n"/>
      <c r="P794" s="77" t="n"/>
      <c r="Q794" s="77" t="n"/>
      <c r="R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  <c r="P795" s="77" t="n"/>
      <c r="Q795" s="77" t="n"/>
      <c r="R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  <c r="O796" s="77" t="n"/>
      <c r="P796" s="77" t="n"/>
      <c r="Q796" s="77" t="n"/>
      <c r="R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  <c r="P797" s="77" t="n"/>
      <c r="Q797" s="77" t="n"/>
      <c r="R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  <c r="O798" s="77" t="n"/>
      <c r="P798" s="77" t="n"/>
      <c r="Q798" s="77" t="n"/>
      <c r="R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  <c r="P799" s="77" t="n"/>
      <c r="Q799" s="77" t="n"/>
      <c r="R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  <c r="O800" s="77" t="n"/>
      <c r="P800" s="77" t="n"/>
      <c r="Q800" s="77" t="n"/>
      <c r="R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  <c r="P801" s="77" t="n"/>
      <c r="Q801" s="77" t="n"/>
      <c r="R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  <c r="O802" s="77" t="n"/>
      <c r="P802" s="77" t="n"/>
      <c r="Q802" s="77" t="n"/>
      <c r="R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  <c r="P803" s="77" t="n"/>
      <c r="Q803" s="77" t="n"/>
      <c r="R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  <c r="O804" s="77" t="n"/>
      <c r="P804" s="77" t="n"/>
      <c r="Q804" s="77" t="n"/>
      <c r="R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  <c r="P805" s="77" t="n"/>
      <c r="Q805" s="77" t="n"/>
      <c r="R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  <c r="O806" s="77" t="n"/>
      <c r="P806" s="77" t="n"/>
      <c r="Q806" s="77" t="n"/>
      <c r="R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  <c r="P807" s="77" t="n"/>
      <c r="Q807" s="77" t="n"/>
      <c r="R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  <c r="O808" s="77" t="n"/>
      <c r="P808" s="77" t="n"/>
      <c r="Q808" s="77" t="n"/>
      <c r="R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  <c r="P809" s="77" t="n"/>
      <c r="Q809" s="77" t="n"/>
      <c r="R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  <c r="O810" s="77" t="n"/>
      <c r="P810" s="77" t="n"/>
      <c r="Q810" s="77" t="n"/>
      <c r="R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  <c r="P811" s="77" t="n"/>
      <c r="Q811" s="77" t="n"/>
      <c r="R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  <c r="O812" s="77" t="n"/>
      <c r="P812" s="77" t="n"/>
      <c r="Q812" s="77" t="n"/>
      <c r="R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  <c r="P813" s="77" t="n"/>
      <c r="Q813" s="77" t="n"/>
      <c r="R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  <c r="O814" s="77" t="n"/>
      <c r="P814" s="77" t="n"/>
      <c r="Q814" s="77" t="n"/>
      <c r="R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  <c r="P815" s="77" t="n"/>
      <c r="Q815" s="77" t="n"/>
      <c r="R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  <c r="O816" s="77" t="n"/>
      <c r="P816" s="77" t="n"/>
      <c r="Q816" s="77" t="n"/>
      <c r="R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  <c r="P817" s="77" t="n"/>
      <c r="Q817" s="77" t="n"/>
      <c r="R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  <c r="O818" s="77" t="n"/>
      <c r="P818" s="77" t="n"/>
      <c r="Q818" s="77" t="n"/>
      <c r="R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  <c r="P819" s="77" t="n"/>
      <c r="Q819" s="77" t="n"/>
      <c r="R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  <c r="O820" s="77" t="n"/>
      <c r="P820" s="77" t="n"/>
      <c r="Q820" s="77" t="n"/>
      <c r="R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  <c r="P821" s="77" t="n"/>
      <c r="Q821" s="77" t="n"/>
      <c r="R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  <c r="O822" s="77" t="n"/>
      <c r="P822" s="77" t="n"/>
      <c r="Q822" s="77" t="n"/>
      <c r="R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  <c r="P823" s="77" t="n"/>
      <c r="Q823" s="77" t="n"/>
      <c r="R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  <c r="O824" s="77" t="n"/>
      <c r="P824" s="77" t="n"/>
      <c r="Q824" s="77" t="n"/>
      <c r="R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  <c r="P825" s="77" t="n"/>
      <c r="Q825" s="77" t="n"/>
      <c r="R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  <c r="O826" s="77" t="n"/>
      <c r="P826" s="77" t="n"/>
      <c r="Q826" s="77" t="n"/>
      <c r="R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  <c r="P827" s="77" t="n"/>
      <c r="Q827" s="77" t="n"/>
      <c r="R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  <c r="O828" s="77" t="n"/>
      <c r="P828" s="77" t="n"/>
      <c r="Q828" s="77" t="n"/>
      <c r="R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  <c r="P829" s="77" t="n"/>
      <c r="Q829" s="77" t="n"/>
      <c r="R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  <c r="O830" s="77" t="n"/>
      <c r="P830" s="77" t="n"/>
      <c r="Q830" s="77" t="n"/>
      <c r="R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  <c r="P831" s="77" t="n"/>
      <c r="Q831" s="77" t="n"/>
      <c r="R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  <c r="O832" s="77" t="n"/>
      <c r="P832" s="77" t="n"/>
      <c r="Q832" s="77" t="n"/>
      <c r="R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  <c r="P833" s="77" t="n"/>
      <c r="Q833" s="77" t="n"/>
      <c r="R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  <c r="O834" s="77" t="n"/>
      <c r="P834" s="77" t="n"/>
      <c r="Q834" s="77" t="n"/>
      <c r="R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  <c r="P835" s="77" t="n"/>
      <c r="Q835" s="77" t="n"/>
      <c r="R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  <c r="O836" s="77" t="n"/>
      <c r="P836" s="77" t="n"/>
      <c r="Q836" s="77" t="n"/>
      <c r="R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  <c r="P837" s="77" t="n"/>
      <c r="Q837" s="77" t="n"/>
      <c r="R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  <c r="O838" s="77" t="n"/>
      <c r="P838" s="77" t="n"/>
      <c r="Q838" s="77" t="n"/>
      <c r="R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  <c r="P839" s="77" t="n"/>
      <c r="Q839" s="77" t="n"/>
      <c r="R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  <c r="O840" s="77" t="n"/>
      <c r="P840" s="77" t="n"/>
      <c r="Q840" s="77" t="n"/>
      <c r="R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  <c r="P841" s="77" t="n"/>
      <c r="Q841" s="77" t="n"/>
      <c r="R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  <c r="O842" s="77" t="n"/>
      <c r="P842" s="77" t="n"/>
      <c r="Q842" s="77" t="n"/>
      <c r="R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  <c r="P843" s="77" t="n"/>
      <c r="Q843" s="77" t="n"/>
      <c r="R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  <c r="O844" s="77" t="n"/>
      <c r="P844" s="77" t="n"/>
      <c r="Q844" s="77" t="n"/>
      <c r="R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  <c r="P845" s="77" t="n"/>
      <c r="Q845" s="77" t="n"/>
      <c r="R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  <c r="O846" s="77" t="n"/>
      <c r="P846" s="77" t="n"/>
      <c r="Q846" s="77" t="n"/>
      <c r="R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  <c r="P847" s="77" t="n"/>
      <c r="Q847" s="77" t="n"/>
      <c r="R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  <c r="O848" s="77" t="n"/>
      <c r="P848" s="77" t="n"/>
      <c r="Q848" s="77" t="n"/>
      <c r="R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  <c r="P849" s="77" t="n"/>
      <c r="Q849" s="77" t="n"/>
      <c r="R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  <c r="O850" s="77" t="n"/>
      <c r="P850" s="77" t="n"/>
      <c r="Q850" s="77" t="n"/>
      <c r="R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  <c r="P851" s="77" t="n"/>
      <c r="Q851" s="77" t="n"/>
      <c r="R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  <c r="O852" s="77" t="n"/>
      <c r="P852" s="77" t="n"/>
      <c r="Q852" s="77" t="n"/>
      <c r="R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  <c r="P853" s="77" t="n"/>
      <c r="Q853" s="77" t="n"/>
      <c r="R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  <c r="O854" s="77" t="n"/>
      <c r="P854" s="77" t="n"/>
      <c r="Q854" s="77" t="n"/>
      <c r="R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  <c r="P855" s="77" t="n"/>
      <c r="Q855" s="77" t="n"/>
      <c r="R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  <c r="O856" s="77" t="n"/>
      <c r="P856" s="77" t="n"/>
      <c r="Q856" s="77" t="n"/>
      <c r="R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  <c r="P857" s="77" t="n"/>
      <c r="Q857" s="77" t="n"/>
      <c r="R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  <c r="O858" s="77" t="n"/>
      <c r="P858" s="77" t="n"/>
      <c r="Q858" s="77" t="n"/>
      <c r="R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  <c r="P859" s="77" t="n"/>
      <c r="Q859" s="77" t="n"/>
      <c r="R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  <c r="O860" s="77" t="n"/>
      <c r="P860" s="77" t="n"/>
      <c r="Q860" s="77" t="n"/>
      <c r="R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  <c r="P861" s="77" t="n"/>
      <c r="Q861" s="77" t="n"/>
      <c r="R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  <c r="O862" s="77" t="n"/>
      <c r="P862" s="77" t="n"/>
      <c r="Q862" s="77" t="n"/>
      <c r="R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  <c r="P863" s="77" t="n"/>
      <c r="Q863" s="77" t="n"/>
      <c r="R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  <c r="O864" s="77" t="n"/>
      <c r="P864" s="77" t="n"/>
      <c r="Q864" s="77" t="n"/>
      <c r="R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  <c r="P865" s="77" t="n"/>
      <c r="Q865" s="77" t="n"/>
      <c r="R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  <c r="O866" s="77" t="n"/>
      <c r="P866" s="77" t="n"/>
      <c r="Q866" s="77" t="n"/>
      <c r="R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  <c r="P867" s="77" t="n"/>
      <c r="Q867" s="77" t="n"/>
      <c r="R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  <c r="O868" s="77" t="n"/>
      <c r="P868" s="77" t="n"/>
      <c r="Q868" s="77" t="n"/>
      <c r="R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  <c r="P869" s="77" t="n"/>
      <c r="Q869" s="77" t="n"/>
      <c r="R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  <c r="O870" s="77" t="n"/>
      <c r="P870" s="77" t="n"/>
      <c r="Q870" s="77" t="n"/>
      <c r="R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  <c r="P871" s="77" t="n"/>
      <c r="Q871" s="77" t="n"/>
      <c r="R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  <c r="O872" s="77" t="n"/>
      <c r="P872" s="77" t="n"/>
      <c r="Q872" s="77" t="n"/>
      <c r="R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  <c r="P873" s="77" t="n"/>
      <c r="Q873" s="77" t="n"/>
      <c r="R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  <c r="O874" s="77" t="n"/>
      <c r="P874" s="77" t="n"/>
      <c r="Q874" s="77" t="n"/>
      <c r="R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  <c r="P875" s="77" t="n"/>
      <c r="Q875" s="77" t="n"/>
      <c r="R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  <c r="O876" s="77" t="n"/>
      <c r="P876" s="77" t="n"/>
      <c r="Q876" s="77" t="n"/>
      <c r="R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  <c r="P877" s="77" t="n"/>
      <c r="Q877" s="77" t="n"/>
      <c r="R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  <c r="O878" s="77" t="n"/>
      <c r="P878" s="77" t="n"/>
      <c r="Q878" s="77" t="n"/>
      <c r="R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  <c r="P879" s="77" t="n"/>
      <c r="Q879" s="77" t="n"/>
      <c r="R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  <c r="O880" s="77" t="n"/>
      <c r="P880" s="77" t="n"/>
      <c r="Q880" s="77" t="n"/>
      <c r="R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  <c r="P881" s="77" t="n"/>
      <c r="Q881" s="77" t="n"/>
      <c r="R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  <c r="O882" s="77" t="n"/>
      <c r="P882" s="77" t="n"/>
      <c r="Q882" s="77" t="n"/>
      <c r="R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  <c r="P883" s="77" t="n"/>
      <c r="Q883" s="77" t="n"/>
      <c r="R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  <c r="O884" s="77" t="n"/>
      <c r="P884" s="77" t="n"/>
      <c r="Q884" s="77" t="n"/>
      <c r="R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  <c r="P885" s="77" t="n"/>
      <c r="Q885" s="77" t="n"/>
      <c r="R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  <c r="O886" s="77" t="n"/>
      <c r="P886" s="77" t="n"/>
      <c r="Q886" s="77" t="n"/>
      <c r="R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  <c r="P887" s="77" t="n"/>
      <c r="Q887" s="77" t="n"/>
      <c r="R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  <c r="O888" s="77" t="n"/>
      <c r="P888" s="77" t="n"/>
      <c r="Q888" s="77" t="n"/>
      <c r="R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  <c r="P889" s="77" t="n"/>
      <c r="Q889" s="77" t="n"/>
      <c r="R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  <c r="O890" s="77" t="n"/>
      <c r="P890" s="77" t="n"/>
      <c r="Q890" s="77" t="n"/>
      <c r="R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  <c r="P891" s="77" t="n"/>
      <c r="Q891" s="77" t="n"/>
      <c r="R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  <c r="O892" s="77" t="n"/>
      <c r="P892" s="77" t="n"/>
      <c r="Q892" s="77" t="n"/>
      <c r="R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  <c r="P893" s="77" t="n"/>
      <c r="Q893" s="77" t="n"/>
      <c r="R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  <c r="O894" s="77" t="n"/>
      <c r="P894" s="77" t="n"/>
      <c r="Q894" s="77" t="n"/>
      <c r="R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  <c r="P895" s="77" t="n"/>
      <c r="Q895" s="77" t="n"/>
      <c r="R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  <c r="O896" s="77" t="n"/>
      <c r="P896" s="77" t="n"/>
      <c r="Q896" s="77" t="n"/>
      <c r="R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  <c r="P897" s="77" t="n"/>
      <c r="Q897" s="77" t="n"/>
      <c r="R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  <c r="O898" s="77" t="n"/>
      <c r="P898" s="77" t="n"/>
      <c r="Q898" s="77" t="n"/>
      <c r="R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  <c r="P899" s="77" t="n"/>
      <c r="Q899" s="77" t="n"/>
      <c r="R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  <c r="O900" s="77" t="n"/>
      <c r="P900" s="77" t="n"/>
      <c r="Q900" s="77" t="n"/>
      <c r="R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  <c r="P901" s="77" t="n"/>
      <c r="Q901" s="77" t="n"/>
      <c r="R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  <c r="O902" s="77" t="n"/>
      <c r="P902" s="77" t="n"/>
      <c r="Q902" s="77" t="n"/>
      <c r="R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  <c r="P903" s="77" t="n"/>
      <c r="Q903" s="77" t="n"/>
      <c r="R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  <c r="O904" s="77" t="n"/>
      <c r="P904" s="77" t="n"/>
      <c r="Q904" s="77" t="n"/>
      <c r="R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  <c r="P905" s="77" t="n"/>
      <c r="Q905" s="77" t="n"/>
      <c r="R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  <c r="O906" s="77" t="n"/>
      <c r="P906" s="77" t="n"/>
      <c r="Q906" s="77" t="n"/>
      <c r="R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  <c r="P907" s="77" t="n"/>
      <c r="Q907" s="77" t="n"/>
      <c r="R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  <c r="O908" s="77" t="n"/>
      <c r="P908" s="77" t="n"/>
      <c r="Q908" s="77" t="n"/>
      <c r="R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  <c r="P909" s="77" t="n"/>
      <c r="Q909" s="77" t="n"/>
      <c r="R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  <c r="O910" s="77" t="n"/>
      <c r="P910" s="77" t="n"/>
      <c r="Q910" s="77" t="n"/>
      <c r="R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  <c r="P911" s="77" t="n"/>
      <c r="Q911" s="77" t="n"/>
      <c r="R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  <c r="O912" s="77" t="n"/>
      <c r="P912" s="77" t="n"/>
      <c r="Q912" s="77" t="n"/>
      <c r="R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  <c r="P913" s="77" t="n"/>
      <c r="Q913" s="77" t="n"/>
      <c r="R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  <c r="O914" s="77" t="n"/>
      <c r="P914" s="77" t="n"/>
      <c r="Q914" s="77" t="n"/>
      <c r="R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  <c r="P915" s="77" t="n"/>
      <c r="Q915" s="77" t="n"/>
      <c r="R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  <c r="O916" s="77" t="n"/>
      <c r="P916" s="77" t="n"/>
      <c r="Q916" s="77" t="n"/>
      <c r="R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  <c r="P917" s="77" t="n"/>
      <c r="Q917" s="77" t="n"/>
      <c r="R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  <c r="O918" s="77" t="n"/>
      <c r="P918" s="77" t="n"/>
      <c r="Q918" s="77" t="n"/>
      <c r="R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  <c r="P919" s="77" t="n"/>
      <c r="Q919" s="77" t="n"/>
      <c r="R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  <c r="O920" s="77" t="n"/>
      <c r="P920" s="77" t="n"/>
      <c r="Q920" s="77" t="n"/>
      <c r="R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  <c r="P921" s="77" t="n"/>
      <c r="Q921" s="77" t="n"/>
      <c r="R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  <c r="O922" s="77" t="n"/>
      <c r="P922" s="77" t="n"/>
      <c r="Q922" s="77" t="n"/>
      <c r="R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  <c r="P923" s="77" t="n"/>
      <c r="Q923" s="77" t="n"/>
      <c r="R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  <c r="O924" s="77" t="n"/>
      <c r="P924" s="77" t="n"/>
      <c r="Q924" s="77" t="n"/>
      <c r="R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  <c r="P925" s="77" t="n"/>
      <c r="Q925" s="77" t="n"/>
      <c r="R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  <c r="O926" s="77" t="n"/>
      <c r="P926" s="77" t="n"/>
      <c r="Q926" s="77" t="n"/>
      <c r="R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  <c r="P927" s="77" t="n"/>
      <c r="Q927" s="77" t="n"/>
      <c r="R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  <c r="O928" s="77" t="n"/>
      <c r="P928" s="77" t="n"/>
      <c r="Q928" s="77" t="n"/>
      <c r="R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  <c r="P929" s="77" t="n"/>
      <c r="Q929" s="77" t="n"/>
      <c r="R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  <c r="O930" s="77" t="n"/>
      <c r="P930" s="77" t="n"/>
      <c r="Q930" s="77" t="n"/>
      <c r="R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  <c r="P931" s="77" t="n"/>
      <c r="Q931" s="77" t="n"/>
      <c r="R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  <c r="O932" s="77" t="n"/>
      <c r="P932" s="77" t="n"/>
      <c r="Q932" s="77" t="n"/>
      <c r="R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  <c r="P933" s="77" t="n"/>
      <c r="Q933" s="77" t="n"/>
      <c r="R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  <c r="O934" s="77" t="n"/>
      <c r="P934" s="77" t="n"/>
      <c r="Q934" s="77" t="n"/>
      <c r="R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  <c r="P935" s="77" t="n"/>
      <c r="Q935" s="77" t="n"/>
      <c r="R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  <c r="O936" s="77" t="n"/>
      <c r="P936" s="77" t="n"/>
      <c r="Q936" s="77" t="n"/>
      <c r="R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  <c r="P937" s="77" t="n"/>
      <c r="Q937" s="77" t="n"/>
      <c r="R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  <c r="O938" s="77" t="n"/>
      <c r="P938" s="77" t="n"/>
      <c r="Q938" s="77" t="n"/>
      <c r="R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  <c r="P939" s="77" t="n"/>
      <c r="Q939" s="77" t="n"/>
      <c r="R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  <c r="O940" s="77" t="n"/>
      <c r="P940" s="77" t="n"/>
      <c r="Q940" s="77" t="n"/>
      <c r="R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  <c r="P941" s="77" t="n"/>
      <c r="Q941" s="77" t="n"/>
      <c r="R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  <c r="O942" s="77" t="n"/>
      <c r="P942" s="77" t="n"/>
      <c r="Q942" s="77" t="n"/>
      <c r="R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  <c r="P943" s="77" t="n"/>
      <c r="Q943" s="77" t="n"/>
      <c r="R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  <c r="O944" s="77" t="n"/>
      <c r="P944" s="77" t="n"/>
      <c r="Q944" s="77" t="n"/>
      <c r="R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  <c r="P945" s="77" t="n"/>
      <c r="Q945" s="77" t="n"/>
      <c r="R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  <c r="O946" s="77" t="n"/>
      <c r="P946" s="77" t="n"/>
      <c r="Q946" s="77" t="n"/>
      <c r="R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  <c r="P947" s="77" t="n"/>
      <c r="Q947" s="77" t="n"/>
      <c r="R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  <c r="O948" s="77" t="n"/>
      <c r="P948" s="77" t="n"/>
      <c r="Q948" s="77" t="n"/>
      <c r="R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  <c r="P949" s="77" t="n"/>
      <c r="Q949" s="77" t="n"/>
      <c r="R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  <c r="O950" s="77" t="n"/>
      <c r="P950" s="77" t="n"/>
      <c r="Q950" s="77" t="n"/>
      <c r="R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  <c r="P951" s="77" t="n"/>
      <c r="Q951" s="77" t="n"/>
      <c r="R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  <c r="O952" s="77" t="n"/>
      <c r="P952" s="77" t="n"/>
      <c r="Q952" s="77" t="n"/>
      <c r="R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  <c r="P953" s="77" t="n"/>
      <c r="Q953" s="77" t="n"/>
      <c r="R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  <c r="O954" s="77" t="n"/>
      <c r="P954" s="77" t="n"/>
      <c r="Q954" s="77" t="n"/>
      <c r="R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  <c r="P955" s="77" t="n"/>
      <c r="Q955" s="77" t="n"/>
      <c r="R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  <c r="O956" s="77" t="n"/>
      <c r="P956" s="77" t="n"/>
      <c r="Q956" s="77" t="n"/>
      <c r="R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  <c r="P957" s="77" t="n"/>
      <c r="Q957" s="77" t="n"/>
      <c r="R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  <c r="O958" s="77" t="n"/>
      <c r="P958" s="77" t="n"/>
      <c r="Q958" s="77" t="n"/>
      <c r="R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  <c r="O959" s="77" t="n"/>
      <c r="P959" s="77" t="n"/>
      <c r="Q959" s="77" t="n"/>
      <c r="R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  <c r="O960" s="77" t="n"/>
      <c r="P960" s="77" t="n"/>
      <c r="Q960" s="77" t="n"/>
      <c r="R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  <c r="O961" s="77" t="n"/>
      <c r="P961" s="77" t="n"/>
      <c r="Q961" s="77" t="n"/>
      <c r="R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  <c r="O962" s="77" t="n"/>
      <c r="P962" s="77" t="n"/>
      <c r="Q962" s="77" t="n"/>
      <c r="R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  <c r="O963" s="77" t="n"/>
      <c r="P963" s="77" t="n"/>
      <c r="Q963" s="77" t="n"/>
      <c r="R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  <c r="O964" s="77" t="n"/>
      <c r="P964" s="77" t="n"/>
      <c r="Q964" s="77" t="n"/>
      <c r="R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  <c r="O965" s="77" t="n"/>
      <c r="P965" s="77" t="n"/>
      <c r="Q965" s="77" t="n"/>
      <c r="R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  <c r="O966" s="77" t="n"/>
      <c r="P966" s="77" t="n"/>
      <c r="Q966" s="77" t="n"/>
      <c r="R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  <c r="O967" s="77" t="n"/>
      <c r="P967" s="77" t="n"/>
      <c r="Q967" s="77" t="n"/>
      <c r="R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  <c r="O968" s="77" t="n"/>
      <c r="P968" s="77" t="n"/>
      <c r="Q968" s="77" t="n"/>
      <c r="R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  <c r="O969" s="77" t="n"/>
      <c r="P969" s="77" t="n"/>
      <c r="Q969" s="77" t="n"/>
      <c r="R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  <c r="O970" s="77" t="n"/>
      <c r="P970" s="77" t="n"/>
      <c r="Q970" s="77" t="n"/>
      <c r="R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  <c r="O971" s="77" t="n"/>
      <c r="P971" s="77" t="n"/>
      <c r="Q971" s="77" t="n"/>
      <c r="R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  <c r="O972" s="77" t="n"/>
      <c r="P972" s="77" t="n"/>
      <c r="Q972" s="77" t="n"/>
      <c r="R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  <c r="O973" s="77" t="n"/>
      <c r="P973" s="77" t="n"/>
      <c r="Q973" s="77" t="n"/>
      <c r="R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  <c r="O974" s="77" t="n"/>
      <c r="P974" s="77" t="n"/>
      <c r="Q974" s="77" t="n"/>
      <c r="R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  <c r="O975" s="77" t="n"/>
      <c r="P975" s="77" t="n"/>
      <c r="Q975" s="77" t="n"/>
      <c r="R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  <c r="O976" s="77" t="n"/>
      <c r="P976" s="77" t="n"/>
      <c r="Q976" s="77" t="n"/>
      <c r="R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  <c r="O977" s="77" t="n"/>
      <c r="P977" s="77" t="n"/>
      <c r="Q977" s="77" t="n"/>
      <c r="R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  <c r="O978" s="77" t="n"/>
      <c r="P978" s="77" t="n"/>
      <c r="Q978" s="77" t="n"/>
      <c r="R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  <c r="O979" s="77" t="n"/>
      <c r="P979" s="77" t="n"/>
      <c r="Q979" s="77" t="n"/>
      <c r="R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  <c r="O980" s="77" t="n"/>
      <c r="P980" s="77" t="n"/>
      <c r="Q980" s="77" t="n"/>
      <c r="R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  <c r="O981" s="77" t="n"/>
      <c r="P981" s="77" t="n"/>
      <c r="Q981" s="77" t="n"/>
      <c r="R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  <c r="O982" s="77" t="n"/>
      <c r="P982" s="77" t="n"/>
      <c r="Q982" s="77" t="n"/>
      <c r="R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  <c r="O983" s="77" t="n"/>
      <c r="P983" s="77" t="n"/>
      <c r="Q983" s="77" t="n"/>
      <c r="R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  <c r="O984" s="77" t="n"/>
      <c r="P984" s="77" t="n"/>
      <c r="Q984" s="77" t="n"/>
      <c r="R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  <c r="O985" s="77" t="n"/>
      <c r="P985" s="77" t="n"/>
      <c r="Q985" s="77" t="n"/>
      <c r="R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  <c r="O986" s="77" t="n"/>
      <c r="P986" s="77" t="n"/>
      <c r="Q986" s="77" t="n"/>
      <c r="R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  <c r="O987" s="77" t="n"/>
      <c r="P987" s="77" t="n"/>
      <c r="Q987" s="77" t="n"/>
      <c r="R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  <c r="O988" s="77" t="n"/>
      <c r="P988" s="77" t="n"/>
      <c r="Q988" s="77" t="n"/>
      <c r="R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  <c r="O989" s="77" t="n"/>
      <c r="P989" s="77" t="n"/>
      <c r="Q989" s="77" t="n"/>
      <c r="R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  <c r="O990" s="77" t="n"/>
      <c r="P990" s="77" t="n"/>
      <c r="Q990" s="77" t="n"/>
      <c r="R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  <c r="O991" s="77" t="n"/>
      <c r="P991" s="77" t="n"/>
      <c r="Q991" s="77" t="n"/>
      <c r="R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  <c r="O992" s="77" t="n"/>
      <c r="P992" s="77" t="n"/>
      <c r="Q992" s="77" t="n"/>
      <c r="R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  <c r="O993" s="77" t="n"/>
      <c r="P993" s="77" t="n"/>
      <c r="Q993" s="77" t="n"/>
      <c r="R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  <c r="O994" s="77" t="n"/>
      <c r="P994" s="77" t="n"/>
      <c r="Q994" s="77" t="n"/>
      <c r="R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  <c r="O995" s="77" t="n"/>
      <c r="P995" s="77" t="n"/>
      <c r="Q995" s="77" t="n"/>
      <c r="R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  <c r="O996" s="77" t="n"/>
      <c r="P996" s="77" t="n"/>
      <c r="Q996" s="77" t="n"/>
      <c r="R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  <c r="O997" s="77" t="n"/>
      <c r="P997" s="77" t="n"/>
      <c r="Q997" s="77" t="n"/>
      <c r="R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  <c r="O998" s="77" t="n"/>
      <c r="P998" s="77" t="n"/>
      <c r="Q998" s="77" t="n"/>
      <c r="R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  <c r="O999" s="77" t="n"/>
      <c r="P999" s="77" t="n"/>
      <c r="Q999" s="77" t="n"/>
      <c r="R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  <c r="O1000" s="77" t="n"/>
      <c r="P1000" s="77" t="n"/>
      <c r="Q1000" s="77" t="n"/>
      <c r="R1000" s="77" t="n"/>
    </row>
  </sheetData>
  <mergeCells count="12">
    <mergeCell ref="A4:H4"/>
    <mergeCell ref="A48:H48"/>
    <mergeCell ref="F6:H6"/>
    <mergeCell ref="A29:H29"/>
    <mergeCell ref="A41:H41"/>
    <mergeCell ref="E6:E7"/>
    <mergeCell ref="C6:C7"/>
    <mergeCell ref="A5:H5"/>
    <mergeCell ref="D6:D7"/>
    <mergeCell ref="B6:B7"/>
    <mergeCell ref="A8:H8"/>
    <mergeCell ref="A6:A7"/>
  </mergeCells>
  <dataValidations count="3">
    <dataValidation sqref="E9:E27 E30:E39 E42:E46" showDropDown="0" showInputMessage="0" showErrorMessage="1" allowBlank="1" type="list">
      <formula1>"Not started,Cancelled,In progress,In Review,Completed"</formula1>
    </dataValidation>
    <dataValidation sqref="E28 E40" showDropDown="0" showInputMessage="0" showErrorMessage="1" allowBlank="1" type="list">
      <formula1>"Continue,Change scope,Cancel project"</formula1>
    </dataValidation>
    <dataValidation sqref="F9:G28 F30:G40 F42:G46" showDropDown="0" showInputMessage="0" showErrorMessage="1" allowBlank="1" type="list">
      <formula1>"Ashish,Mariia,Henry,Fernando,Tero,Igor,Giang,Nate,Hanna,Johanna,Lawyer / Consultant,Jane,Karita"</formula1>
    </dataValidation>
  </dataValidations>
  <hyperlinks>
    <hyperlink xmlns:r="http://schemas.openxmlformats.org/officeDocument/2006/relationships" ref="B28" location="Scope" r:id="rId1"/>
    <hyperlink xmlns:r="http://schemas.openxmlformats.org/officeDocument/2006/relationships" ref="B40" location="Scope" r:id="rId2"/>
  </hyperlinks>
  <printOptions horizontalCentered="1" gridLines="1"/>
  <pageMargins left="0.25" right="0.25" top="0.75" bottom="0.75" header="0" footer="0"/>
  <pageSetup orientation="landscape" paperSize="9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7.5" customWidth="1" style="360" min="1" max="1"/>
    <col width="19.25" customWidth="1" style="360" min="2" max="2"/>
    <col width="35.88" customWidth="1" style="360" min="3" max="3"/>
    <col width="12.5" customWidth="1" style="360" min="4" max="4"/>
    <col width="8.380000000000001" customWidth="1" style="360" min="5" max="5"/>
    <col width="11.38" customWidth="1" style="360" min="6" max="6"/>
    <col width="19.25" customWidth="1" style="360" min="7" max="7"/>
    <col width="18.38" customWidth="1" style="360" min="8" max="8"/>
  </cols>
  <sheetData>
    <row r="1" ht="26.25" customHeight="1" s="360">
      <c r="A1" s="377" t="inlineStr">
        <is>
          <t>Before Project starts</t>
        </is>
      </c>
      <c r="B1" s="378" t="n"/>
      <c r="C1" s="378" t="n"/>
      <c r="D1" s="379" t="n"/>
      <c r="E1" s="380" t="inlineStr">
        <is>
          <t>After Project is finished</t>
        </is>
      </c>
      <c r="F1" s="378" t="n"/>
      <c r="G1" s="378" t="n"/>
      <c r="H1" s="379" t="n"/>
    </row>
    <row r="2" ht="15.75" customHeight="1" s="360">
      <c r="A2" s="82" t="inlineStr">
        <is>
          <t>#</t>
        </is>
      </c>
      <c r="B2" s="82" t="inlineStr">
        <is>
          <t>Category</t>
        </is>
      </c>
      <c r="C2" s="82" t="inlineStr">
        <is>
          <t>Criteria</t>
        </is>
      </c>
      <c r="D2" s="83" t="inlineStr">
        <is>
          <t>Weight 
(sums to 1)</t>
        </is>
      </c>
      <c r="E2" s="82" t="inlineStr">
        <is>
          <t>Status</t>
        </is>
      </c>
      <c r="F2" s="82" t="inlineStr">
        <is>
          <t>Score (1–5)</t>
        </is>
      </c>
      <c r="G2" s="82" t="inlineStr">
        <is>
          <t>Notes</t>
        </is>
      </c>
      <c r="H2" s="82" t="inlineStr">
        <is>
          <t>Weighted Score</t>
        </is>
      </c>
    </row>
    <row r="3" ht="15.75" customHeight="1" s="360">
      <c r="A3" s="84" t="n">
        <v>1</v>
      </c>
      <c r="B3" s="85" t="inlineStr">
        <is>
          <t>Timeline</t>
        </is>
      </c>
      <c r="C3" s="85" t="inlineStr">
        <is>
          <t>Project delivered on schedule</t>
        </is>
      </c>
      <c r="D3" s="86" t="n">
        <v>0.2</v>
      </c>
      <c r="E3" s="85" t="inlineStr">
        <is>
          <t>✅</t>
        </is>
      </c>
      <c r="F3" s="85" t="n"/>
      <c r="G3" s="85" t="n"/>
      <c r="H3" s="87" t="n"/>
    </row>
    <row r="4" ht="15.75" customHeight="1" s="360">
      <c r="A4" s="88" t="n">
        <v>2</v>
      </c>
      <c r="B4" s="89" t="inlineStr">
        <is>
          <t>Budget</t>
        </is>
      </c>
      <c r="C4" s="89" t="inlineStr">
        <is>
          <t>Within approved budget</t>
        </is>
      </c>
      <c r="D4" s="90" t="n">
        <v>0.15</v>
      </c>
      <c r="E4" s="89" t="inlineStr">
        <is>
          <t>✅</t>
        </is>
      </c>
      <c r="F4" s="89" t="n"/>
      <c r="G4" s="89" t="n"/>
      <c r="H4" s="91" t="n"/>
    </row>
    <row r="5" ht="15.75" customHeight="1" s="360">
      <c r="A5" s="88" t="n">
        <v>3</v>
      </c>
      <c r="B5" s="89" t="inlineStr">
        <is>
          <t>Quality Compliance</t>
        </is>
      </c>
      <c r="C5" s="89" t="inlineStr">
        <is>
          <t>Meets precast tolerance standards</t>
        </is>
      </c>
      <c r="D5" s="90" t="n">
        <v>0.2</v>
      </c>
      <c r="E5" s="89" t="inlineStr">
        <is>
          <t>✅</t>
        </is>
      </c>
      <c r="F5" s="89" t="n"/>
      <c r="G5" s="89" t="n"/>
      <c r="H5" s="91" t="n"/>
    </row>
    <row r="6" ht="15.75" customHeight="1" s="360">
      <c r="A6" s="88" t="n">
        <v>4</v>
      </c>
      <c r="B6" s="89" t="inlineStr">
        <is>
          <t>HSE Compliance</t>
        </is>
      </c>
      <c r="C6" s="89" t="inlineStr">
        <is>
          <t>No major safety violations</t>
        </is>
      </c>
      <c r="D6" s="90" t="n">
        <v>0.1</v>
      </c>
      <c r="E6" s="89" t="inlineStr">
        <is>
          <t>✅</t>
        </is>
      </c>
      <c r="F6" s="89" t="n"/>
      <c r="G6" s="89" t="n"/>
      <c r="H6" s="91" t="n"/>
    </row>
    <row r="7" ht="15.75" customHeight="1" s="360">
      <c r="A7" s="88" t="n">
        <v>5</v>
      </c>
      <c r="B7" s="89" t="inlineStr">
        <is>
          <t>Client Satisfaction</t>
        </is>
      </c>
      <c r="C7" s="89" t="inlineStr">
        <is>
          <t>Post-project client feedback</t>
        </is>
      </c>
      <c r="D7" s="90" t="n">
        <v>0.15</v>
      </c>
      <c r="E7" s="89" t="inlineStr">
        <is>
          <t>✅</t>
        </is>
      </c>
      <c r="F7" s="89" t="n"/>
      <c r="G7" s="89" t="n"/>
      <c r="H7" s="91" t="n"/>
    </row>
    <row r="8" ht="15.75" customHeight="1" s="360">
      <c r="A8" s="88" t="n">
        <v>6</v>
      </c>
      <c r="B8" s="89" t="inlineStr">
        <is>
          <t>Logistics Efficiency</t>
        </is>
      </c>
      <c r="C8" s="89" t="inlineStr">
        <is>
          <t>Just-in-time deliveries without delays</t>
        </is>
      </c>
      <c r="D8" s="90" t="n">
        <v>0.1</v>
      </c>
      <c r="E8" s="89" t="inlineStr">
        <is>
          <t>✅</t>
        </is>
      </c>
      <c r="F8" s="89" t="n"/>
      <c r="G8" s="89" t="n"/>
      <c r="H8" s="91" t="n"/>
    </row>
    <row r="9" ht="15.75" customHeight="1" s="360">
      <c r="A9" s="92" t="n">
        <v>7</v>
      </c>
      <c r="B9" s="93" t="inlineStr">
        <is>
          <t>Design Accuracy</t>
        </is>
      </c>
      <c r="C9" s="93" t="inlineStr">
        <is>
          <t>Shop drawings match as-built dimensions</t>
        </is>
      </c>
      <c r="D9" s="94" t="n">
        <v>0.1</v>
      </c>
      <c r="E9" s="93" t="inlineStr">
        <is>
          <t>✅</t>
        </is>
      </c>
      <c r="F9" s="93" t="n"/>
      <c r="G9" s="93" t="n"/>
      <c r="H9" s="95" t="n"/>
    </row>
    <row r="10" ht="15.75" customHeight="1" s="360">
      <c r="A10" s="77" t="n"/>
      <c r="B10" s="77" t="n"/>
      <c r="C10" s="77" t="n"/>
      <c r="D10" s="77" t="n"/>
      <c r="E10" s="77" t="n"/>
      <c r="F10" s="77" t="n"/>
      <c r="G10" s="96" t="inlineStr">
        <is>
          <t>Total Project Score</t>
        </is>
      </c>
      <c r="H10" s="97">
        <f>SUM(H3:H9)</f>
        <v/>
      </c>
    </row>
    <row r="11" ht="15.75" customHeight="1" s="360">
      <c r="A11" s="77" t="n"/>
      <c r="B11" s="77" t="n"/>
      <c r="C11" s="77" t="n"/>
      <c r="D11" s="77" t="n"/>
      <c r="E11" s="77" t="n"/>
      <c r="F11" s="77" t="n"/>
      <c r="G11" s="98" t="inlineStr">
        <is>
          <t>Max score</t>
        </is>
      </c>
      <c r="H11" s="99" t="n">
        <v>5</v>
      </c>
    </row>
    <row r="12" ht="15.75" customHeight="1" s="360">
      <c r="A12" s="77" t="n"/>
      <c r="B12" s="77" t="n"/>
      <c r="C12" s="77" t="n"/>
      <c r="D12" s="77" t="n"/>
      <c r="E12" s="77" t="n"/>
      <c r="F12" s="77" t="n"/>
      <c r="G12" s="77" t="n"/>
      <c r="H12" s="36" t="n"/>
    </row>
    <row r="13" ht="15.75" customHeight="1" s="360">
      <c r="A13" s="77" t="n"/>
      <c r="B13" s="77" t="n"/>
      <c r="C13" s="77" t="n"/>
      <c r="D13" s="77" t="n"/>
      <c r="E13" s="77" t="n"/>
      <c r="F13" s="77" t="n"/>
      <c r="G13" s="77" t="n"/>
      <c r="H13" s="77" t="n"/>
    </row>
    <row r="14" ht="15.75" customHeight="1" s="360">
      <c r="A14" s="77" t="n"/>
      <c r="B14" s="77" t="n"/>
      <c r="C14" s="77" t="n"/>
      <c r="D14" s="77" t="n"/>
      <c r="E14" s="77" t="n"/>
      <c r="F14" s="77" t="n"/>
      <c r="G14" s="77" t="n"/>
      <c r="H14" s="77" t="n"/>
    </row>
    <row r="15" ht="15.75" customHeight="1" s="360">
      <c r="A15" s="77" t="n"/>
      <c r="B15" s="77" t="n"/>
      <c r="C15" s="77" t="n"/>
      <c r="D15" s="77" t="n"/>
      <c r="E15" s="77" t="n"/>
      <c r="F15" s="77" t="n"/>
      <c r="G15" s="77" t="n"/>
      <c r="H15" s="77" t="n"/>
    </row>
    <row r="16" ht="15.75" customHeight="1" s="360">
      <c r="A16" s="77" t="n"/>
      <c r="B16" s="77" t="n"/>
      <c r="C16" s="77" t="n"/>
      <c r="D16" s="77" t="n"/>
      <c r="E16" s="77" t="n"/>
      <c r="F16" s="77" t="n"/>
      <c r="G16" s="77" t="n"/>
      <c r="H16" s="77" t="n"/>
    </row>
    <row r="17" ht="15.75" customHeight="1" s="360">
      <c r="A17" s="77" t="n"/>
      <c r="B17" s="77" t="n"/>
      <c r="C17" s="77" t="n"/>
      <c r="D17" s="77" t="n"/>
      <c r="E17" s="77" t="n"/>
      <c r="F17" s="77" t="n"/>
      <c r="G17" s="77" t="n"/>
      <c r="H17" s="77" t="n"/>
    </row>
    <row r="18" ht="15.75" customHeight="1" s="360">
      <c r="A18" s="77" t="n"/>
      <c r="B18" s="77" t="n"/>
      <c r="C18" s="77" t="n"/>
      <c r="D18" s="77" t="n"/>
      <c r="E18" s="77" t="n"/>
      <c r="F18" s="77" t="n"/>
      <c r="G18" s="77" t="n"/>
      <c r="H18" s="77" t="n"/>
    </row>
    <row r="19" ht="15.75" customHeight="1" s="360">
      <c r="A19" s="77" t="n"/>
      <c r="B19" s="77" t="n"/>
      <c r="C19" s="77" t="n"/>
      <c r="D19" s="77" t="n"/>
      <c r="E19" s="77" t="n"/>
      <c r="F19" s="77" t="n"/>
      <c r="G19" s="77" t="n"/>
      <c r="H19" s="77" t="n"/>
    </row>
    <row r="20" ht="15.75" customHeight="1" s="360">
      <c r="A20" s="77" t="n"/>
      <c r="B20" s="77" t="n"/>
      <c r="C20" s="77" t="n"/>
      <c r="D20" s="77" t="n"/>
      <c r="E20" s="77" t="n"/>
      <c r="F20" s="77" t="n"/>
      <c r="G20" s="77" t="n"/>
      <c r="H20" s="77" t="n"/>
    </row>
    <row r="21" ht="15.75" customHeight="1" s="360">
      <c r="A21" s="77" t="n"/>
      <c r="B21" s="77" t="n"/>
      <c r="C21" s="77" t="n"/>
      <c r="D21" s="77" t="n"/>
      <c r="E21" s="77" t="n"/>
      <c r="F21" s="77" t="n"/>
      <c r="G21" s="77" t="n"/>
      <c r="H21" s="77" t="n"/>
    </row>
    <row r="22" ht="15.75" customHeight="1" s="360">
      <c r="A22" s="77" t="n"/>
      <c r="B22" s="77" t="n"/>
      <c r="C22" s="77" t="n"/>
      <c r="D22" s="77" t="n"/>
      <c r="E22" s="77" t="n"/>
      <c r="F22" s="77" t="n"/>
      <c r="G22" s="77" t="n"/>
      <c r="H22" s="77" t="n"/>
    </row>
    <row r="23" ht="15.75" customHeight="1" s="360">
      <c r="A23" s="77" t="n"/>
      <c r="B23" s="77" t="n"/>
      <c r="C23" s="77" t="n"/>
      <c r="D23" s="77" t="n"/>
      <c r="E23" s="77" t="n"/>
      <c r="F23" s="77" t="n"/>
      <c r="G23" s="77" t="n"/>
      <c r="H23" s="77" t="n"/>
    </row>
    <row r="24" ht="15.75" customHeight="1" s="360">
      <c r="A24" s="77" t="n"/>
      <c r="B24" s="77" t="n"/>
      <c r="C24" s="77" t="n"/>
      <c r="D24" s="77" t="n"/>
      <c r="E24" s="77" t="n"/>
      <c r="F24" s="77" t="n"/>
      <c r="G24" s="77" t="n"/>
      <c r="H24" s="77" t="n"/>
    </row>
    <row r="25" ht="15.75" customHeight="1" s="360">
      <c r="A25" s="77" t="n"/>
      <c r="B25" s="77" t="n"/>
      <c r="C25" s="77" t="n"/>
      <c r="D25" s="77" t="n"/>
      <c r="E25" s="77" t="n"/>
      <c r="F25" s="77" t="n"/>
      <c r="G25" s="77" t="n"/>
      <c r="H25" s="77" t="n"/>
    </row>
    <row r="26" ht="15.75" customHeight="1" s="360">
      <c r="A26" s="77" t="n"/>
      <c r="B26" s="77" t="n"/>
      <c r="C26" s="77" t="n"/>
      <c r="D26" s="77" t="n"/>
      <c r="E26" s="77" t="n"/>
      <c r="F26" s="77" t="n"/>
      <c r="G26" s="77" t="n"/>
      <c r="H26" s="77" t="n"/>
    </row>
    <row r="27" ht="15.75" customHeight="1" s="360">
      <c r="A27" s="77" t="n"/>
      <c r="B27" s="77" t="n"/>
      <c r="C27" s="77" t="n"/>
      <c r="D27" s="77" t="n"/>
      <c r="E27" s="77" t="n"/>
      <c r="F27" s="77" t="n"/>
      <c r="G27" s="77" t="n"/>
      <c r="H27" s="77" t="n"/>
    </row>
    <row r="28" ht="15.75" customHeight="1" s="360">
      <c r="A28" s="77" t="n"/>
      <c r="B28" s="77" t="n"/>
      <c r="C28" s="77" t="n"/>
      <c r="D28" s="77" t="n"/>
      <c r="E28" s="77" t="n"/>
      <c r="F28" s="77" t="n"/>
      <c r="G28" s="77" t="n"/>
      <c r="H28" s="77" t="n"/>
    </row>
    <row r="29" ht="15.75" customHeight="1" s="360">
      <c r="A29" s="77" t="n"/>
      <c r="B29" s="77" t="n"/>
      <c r="C29" s="77" t="n"/>
      <c r="D29" s="77" t="n"/>
      <c r="E29" s="77" t="n"/>
      <c r="F29" s="77" t="n"/>
      <c r="G29" s="77" t="n"/>
      <c r="H29" s="77" t="n"/>
    </row>
    <row r="30" ht="15.75" customHeight="1" s="360">
      <c r="A30" s="77" t="n"/>
      <c r="B30" s="77" t="n"/>
      <c r="C30" s="77" t="n"/>
      <c r="D30" s="77" t="n"/>
      <c r="E30" s="77" t="n"/>
      <c r="F30" s="77" t="n"/>
      <c r="G30" s="77" t="n"/>
      <c r="H30" s="77" t="n"/>
    </row>
    <row r="31" ht="15.75" customHeight="1" s="360">
      <c r="A31" s="77" t="n"/>
      <c r="B31" s="77" t="n"/>
      <c r="C31" s="77" t="n"/>
      <c r="D31" s="77" t="n"/>
      <c r="E31" s="77" t="n"/>
      <c r="F31" s="77" t="n"/>
      <c r="G31" s="77" t="n"/>
      <c r="H31" s="77" t="n"/>
    </row>
    <row r="32" ht="15.75" customHeight="1" s="360">
      <c r="A32" s="77" t="n"/>
      <c r="B32" s="77" t="n"/>
      <c r="C32" s="77" t="n"/>
      <c r="D32" s="77" t="n"/>
      <c r="E32" s="77" t="n"/>
      <c r="F32" s="77" t="n"/>
      <c r="G32" s="77" t="n"/>
      <c r="H32" s="77" t="n"/>
    </row>
    <row r="33" ht="15.75" customHeight="1" s="360">
      <c r="A33" s="77" t="n"/>
      <c r="B33" s="77" t="n"/>
      <c r="C33" s="77" t="n"/>
      <c r="D33" s="77" t="n"/>
      <c r="E33" s="77" t="n"/>
      <c r="F33" s="77" t="n"/>
      <c r="G33" s="77" t="n"/>
      <c r="H33" s="77" t="n"/>
    </row>
    <row r="34" ht="15.75" customHeight="1" s="360">
      <c r="A34" s="77" t="n"/>
      <c r="B34" s="77" t="n"/>
      <c r="C34" s="77" t="n"/>
      <c r="D34" s="77" t="n"/>
      <c r="E34" s="77" t="n"/>
      <c r="F34" s="77" t="n"/>
      <c r="G34" s="77" t="n"/>
      <c r="H34" s="77" t="n"/>
    </row>
    <row r="35" ht="15.75" customHeight="1" s="360">
      <c r="A35" s="77" t="n"/>
      <c r="B35" s="77" t="n"/>
      <c r="C35" s="77" t="n"/>
      <c r="D35" s="77" t="n"/>
      <c r="E35" s="77" t="n"/>
      <c r="F35" s="77" t="n"/>
      <c r="G35" s="77" t="n"/>
      <c r="H35" s="77" t="n"/>
    </row>
    <row r="36" ht="15.75" customHeight="1" s="360">
      <c r="A36" s="77" t="n"/>
      <c r="B36" s="77" t="n"/>
      <c r="C36" s="77" t="n"/>
      <c r="D36" s="77" t="n"/>
      <c r="E36" s="77" t="n"/>
      <c r="F36" s="77" t="n"/>
      <c r="G36" s="77" t="n"/>
      <c r="H36" s="77" t="n"/>
    </row>
    <row r="37" ht="15.75" customHeight="1" s="360">
      <c r="A37" s="77" t="n"/>
      <c r="B37" s="77" t="n"/>
      <c r="C37" s="77" t="n"/>
      <c r="D37" s="77" t="n"/>
      <c r="E37" s="77" t="n"/>
      <c r="F37" s="77" t="n"/>
      <c r="G37" s="77" t="n"/>
      <c r="H37" s="77" t="n"/>
    </row>
    <row r="38" ht="15.75" customHeight="1" s="360">
      <c r="A38" s="77" t="n"/>
      <c r="B38" s="77" t="n"/>
      <c r="C38" s="77" t="n"/>
      <c r="D38" s="77" t="n"/>
      <c r="E38" s="77" t="n"/>
      <c r="F38" s="77" t="n"/>
      <c r="G38" s="77" t="n"/>
      <c r="H38" s="77" t="n"/>
    </row>
    <row r="39" ht="15.75" customHeight="1" s="360">
      <c r="A39" s="77" t="n"/>
      <c r="B39" s="77" t="n"/>
      <c r="C39" s="77" t="n"/>
      <c r="D39" s="77" t="n"/>
      <c r="E39" s="77" t="n"/>
      <c r="F39" s="77" t="n"/>
      <c r="G39" s="77" t="n"/>
      <c r="H39" s="77" t="n"/>
    </row>
    <row r="40" ht="15.75" customHeight="1" s="360">
      <c r="A40" s="77" t="n"/>
      <c r="B40" s="77" t="n"/>
      <c r="C40" s="77" t="n"/>
      <c r="D40" s="77" t="n"/>
      <c r="E40" s="77" t="n"/>
      <c r="F40" s="77" t="n"/>
      <c r="G40" s="77" t="n"/>
      <c r="H40" s="77" t="n"/>
    </row>
    <row r="41" ht="15.75" customHeight="1" s="360">
      <c r="A41" s="77" t="n"/>
      <c r="B41" s="77" t="n"/>
      <c r="C41" s="77" t="n"/>
      <c r="D41" s="77" t="n"/>
      <c r="E41" s="77" t="n"/>
      <c r="F41" s="77" t="n"/>
      <c r="G41" s="77" t="n"/>
      <c r="H41" s="77" t="n"/>
    </row>
    <row r="42" ht="15.75" customHeight="1" s="360">
      <c r="A42" s="77" t="n"/>
      <c r="B42" s="77" t="n"/>
      <c r="C42" s="77" t="n"/>
      <c r="D42" s="77" t="n"/>
      <c r="E42" s="77" t="n"/>
      <c r="F42" s="77" t="n"/>
      <c r="G42" s="77" t="n"/>
      <c r="H42" s="77" t="n"/>
    </row>
    <row r="43" ht="15.75" customHeight="1" s="360">
      <c r="A43" s="77" t="n"/>
      <c r="B43" s="77" t="n"/>
      <c r="C43" s="77" t="n"/>
      <c r="D43" s="77" t="n"/>
      <c r="E43" s="77" t="n"/>
      <c r="F43" s="77" t="n"/>
      <c r="G43" s="77" t="n"/>
      <c r="H43" s="77" t="n"/>
    </row>
    <row r="44" ht="15.75" customHeight="1" s="360">
      <c r="A44" s="77" t="n"/>
      <c r="B44" s="77" t="n"/>
      <c r="C44" s="77" t="n"/>
      <c r="D44" s="77" t="n"/>
      <c r="E44" s="77" t="n"/>
      <c r="F44" s="77" t="n"/>
      <c r="G44" s="77" t="n"/>
      <c r="H44" s="77" t="n"/>
    </row>
    <row r="45" ht="15.75" customHeight="1" s="360">
      <c r="A45" s="77" t="n"/>
      <c r="B45" s="77" t="n"/>
      <c r="C45" s="77" t="n"/>
      <c r="D45" s="77" t="n"/>
      <c r="E45" s="77" t="n"/>
      <c r="F45" s="77" t="n"/>
      <c r="G45" s="77" t="n"/>
      <c r="H45" s="77" t="n"/>
    </row>
    <row r="46" ht="15.75" customHeight="1" s="360">
      <c r="A46" s="77" t="n"/>
      <c r="B46" s="77" t="n"/>
      <c r="C46" s="77" t="n"/>
      <c r="D46" s="77" t="n"/>
      <c r="E46" s="77" t="n"/>
      <c r="F46" s="77" t="n"/>
      <c r="G46" s="77" t="n"/>
      <c r="H46" s="77" t="n"/>
    </row>
    <row r="47" ht="15.75" customHeight="1" s="360">
      <c r="A47" s="77" t="n"/>
      <c r="B47" s="77" t="n"/>
      <c r="C47" s="77" t="n"/>
      <c r="D47" s="77" t="n"/>
      <c r="E47" s="77" t="n"/>
      <c r="F47" s="77" t="n"/>
      <c r="G47" s="77" t="n"/>
      <c r="H47" s="77" t="n"/>
    </row>
    <row r="48" ht="15.75" customHeight="1" s="360">
      <c r="A48" s="77" t="n"/>
      <c r="B48" s="77" t="n"/>
      <c r="C48" s="77" t="n"/>
      <c r="D48" s="77" t="n"/>
      <c r="E48" s="77" t="n"/>
      <c r="F48" s="77" t="n"/>
      <c r="G48" s="77" t="n"/>
      <c r="H48" s="77" t="n"/>
    </row>
    <row r="49" ht="15.75" customHeight="1" s="360">
      <c r="A49" s="77" t="n"/>
      <c r="B49" s="77" t="n"/>
      <c r="C49" s="77" t="n"/>
      <c r="D49" s="77" t="n"/>
      <c r="E49" s="77" t="n"/>
      <c r="F49" s="77" t="n"/>
      <c r="G49" s="77" t="n"/>
      <c r="H49" s="77" t="n"/>
    </row>
    <row r="50" ht="15.75" customHeight="1" s="360">
      <c r="A50" s="77" t="n"/>
      <c r="B50" s="77" t="n"/>
      <c r="C50" s="77" t="n"/>
      <c r="D50" s="77" t="n"/>
      <c r="E50" s="77" t="n"/>
      <c r="F50" s="77" t="n"/>
      <c r="G50" s="77" t="n"/>
      <c r="H50" s="77" t="n"/>
    </row>
    <row r="51" ht="15.75" customHeight="1" s="360">
      <c r="A51" s="77" t="n"/>
      <c r="B51" s="77" t="n"/>
      <c r="C51" s="77" t="n"/>
      <c r="D51" s="77" t="n"/>
      <c r="E51" s="77" t="n"/>
      <c r="F51" s="77" t="n"/>
      <c r="G51" s="77" t="n"/>
      <c r="H51" s="77" t="n"/>
    </row>
    <row r="52" ht="15.75" customHeight="1" s="360">
      <c r="A52" s="77" t="n"/>
      <c r="B52" s="77" t="n"/>
      <c r="C52" s="77" t="n"/>
      <c r="D52" s="77" t="n"/>
      <c r="E52" s="77" t="n"/>
      <c r="F52" s="77" t="n"/>
      <c r="G52" s="77" t="n"/>
      <c r="H52" s="77" t="n"/>
    </row>
    <row r="53" ht="15.75" customHeight="1" s="360">
      <c r="A53" s="77" t="n"/>
      <c r="B53" s="77" t="n"/>
      <c r="C53" s="77" t="n"/>
      <c r="D53" s="77" t="n"/>
      <c r="E53" s="77" t="n"/>
      <c r="F53" s="77" t="n"/>
      <c r="G53" s="77" t="n"/>
      <c r="H53" s="77" t="n"/>
    </row>
    <row r="54" ht="15.75" customHeight="1" s="360">
      <c r="A54" s="77" t="n"/>
      <c r="B54" s="77" t="n"/>
      <c r="C54" s="77" t="n"/>
      <c r="D54" s="77" t="n"/>
      <c r="E54" s="77" t="n"/>
      <c r="F54" s="77" t="n"/>
      <c r="G54" s="77" t="n"/>
      <c r="H54" s="77" t="n"/>
    </row>
    <row r="55" ht="15.75" customHeight="1" s="360">
      <c r="A55" s="77" t="n"/>
      <c r="B55" s="77" t="n"/>
      <c r="C55" s="77" t="n"/>
      <c r="D55" s="77" t="n"/>
      <c r="E55" s="77" t="n"/>
      <c r="F55" s="77" t="n"/>
      <c r="G55" s="77" t="n"/>
      <c r="H55" s="77" t="n"/>
    </row>
    <row r="56" ht="15.75" customHeight="1" s="360">
      <c r="A56" s="77" t="n"/>
      <c r="B56" s="77" t="n"/>
      <c r="C56" s="77" t="n"/>
      <c r="D56" s="77" t="n"/>
      <c r="E56" s="77" t="n"/>
      <c r="F56" s="77" t="n"/>
      <c r="G56" s="77" t="n"/>
      <c r="H56" s="77" t="n"/>
    </row>
    <row r="57" ht="15.75" customHeight="1" s="360">
      <c r="A57" s="77" t="n"/>
      <c r="B57" s="77" t="n"/>
      <c r="C57" s="77" t="n"/>
      <c r="D57" s="77" t="n"/>
      <c r="E57" s="77" t="n"/>
      <c r="F57" s="77" t="n"/>
      <c r="G57" s="77" t="n"/>
      <c r="H57" s="77" t="n"/>
    </row>
    <row r="58" ht="15.75" customHeight="1" s="360">
      <c r="A58" s="77" t="n"/>
      <c r="B58" s="77" t="n"/>
      <c r="C58" s="77" t="n"/>
      <c r="D58" s="77" t="n"/>
      <c r="E58" s="77" t="n"/>
      <c r="F58" s="77" t="n"/>
      <c r="G58" s="77" t="n"/>
      <c r="H58" s="77" t="n"/>
    </row>
    <row r="59" ht="15.75" customHeight="1" s="360">
      <c r="A59" s="77" t="n"/>
      <c r="B59" s="77" t="n"/>
      <c r="C59" s="77" t="n"/>
      <c r="D59" s="77" t="n"/>
      <c r="E59" s="77" t="n"/>
      <c r="F59" s="77" t="n"/>
      <c r="G59" s="77" t="n"/>
      <c r="H59" s="77" t="n"/>
    </row>
    <row r="60" ht="15.75" customHeight="1" s="360">
      <c r="A60" s="77" t="n"/>
      <c r="B60" s="77" t="n"/>
      <c r="C60" s="77" t="n"/>
      <c r="D60" s="77" t="n"/>
      <c r="E60" s="77" t="n"/>
      <c r="F60" s="77" t="n"/>
      <c r="G60" s="77" t="n"/>
      <c r="H60" s="77" t="n"/>
    </row>
    <row r="61" ht="15.75" customHeight="1" s="360">
      <c r="A61" s="77" t="n"/>
      <c r="B61" s="77" t="n"/>
      <c r="C61" s="77" t="n"/>
      <c r="D61" s="77" t="n"/>
      <c r="E61" s="77" t="n"/>
      <c r="F61" s="77" t="n"/>
      <c r="G61" s="77" t="n"/>
      <c r="H61" s="77" t="n"/>
    </row>
    <row r="62" ht="15.75" customHeight="1" s="360">
      <c r="A62" s="77" t="n"/>
      <c r="B62" s="77" t="n"/>
      <c r="C62" s="77" t="n"/>
      <c r="D62" s="77" t="n"/>
      <c r="E62" s="77" t="n"/>
      <c r="F62" s="77" t="n"/>
      <c r="G62" s="77" t="n"/>
      <c r="H62" s="77" t="n"/>
    </row>
    <row r="63" ht="15.75" customHeight="1" s="360">
      <c r="A63" s="77" t="n"/>
      <c r="B63" s="77" t="n"/>
      <c r="C63" s="77" t="n"/>
      <c r="D63" s="77" t="n"/>
      <c r="E63" s="77" t="n"/>
      <c r="F63" s="77" t="n"/>
      <c r="G63" s="77" t="n"/>
      <c r="H63" s="77" t="n"/>
    </row>
    <row r="64" ht="15.75" customHeight="1" s="360">
      <c r="A64" s="77" t="n"/>
      <c r="B64" s="77" t="n"/>
      <c r="C64" s="77" t="n"/>
      <c r="D64" s="77" t="n"/>
      <c r="E64" s="77" t="n"/>
      <c r="F64" s="77" t="n"/>
      <c r="G64" s="77" t="n"/>
      <c r="H64" s="77" t="n"/>
    </row>
    <row r="65" ht="15.75" customHeight="1" s="360">
      <c r="A65" s="77" t="n"/>
      <c r="B65" s="77" t="n"/>
      <c r="C65" s="77" t="n"/>
      <c r="D65" s="77" t="n"/>
      <c r="E65" s="77" t="n"/>
      <c r="F65" s="77" t="n"/>
      <c r="G65" s="77" t="n"/>
      <c r="H65" s="77" t="n"/>
    </row>
    <row r="66" ht="15.75" customHeight="1" s="360">
      <c r="A66" s="77" t="n"/>
      <c r="B66" s="77" t="n"/>
      <c r="C66" s="77" t="n"/>
      <c r="D66" s="77" t="n"/>
      <c r="E66" s="77" t="n"/>
      <c r="F66" s="77" t="n"/>
      <c r="G66" s="77" t="n"/>
      <c r="H66" s="77" t="n"/>
    </row>
    <row r="67" ht="15.75" customHeight="1" s="360">
      <c r="A67" s="77" t="n"/>
      <c r="B67" s="77" t="n"/>
      <c r="C67" s="77" t="n"/>
      <c r="D67" s="77" t="n"/>
      <c r="E67" s="77" t="n"/>
      <c r="F67" s="77" t="n"/>
      <c r="G67" s="77" t="n"/>
      <c r="H67" s="77" t="n"/>
    </row>
    <row r="68" ht="15.75" customHeight="1" s="360">
      <c r="A68" s="77" t="n"/>
      <c r="B68" s="77" t="n"/>
      <c r="C68" s="77" t="n"/>
      <c r="D68" s="77" t="n"/>
      <c r="E68" s="77" t="n"/>
      <c r="F68" s="77" t="n"/>
      <c r="G68" s="77" t="n"/>
      <c r="H68" s="77" t="n"/>
    </row>
    <row r="69" ht="15.75" customHeight="1" s="360">
      <c r="A69" s="77" t="n"/>
      <c r="B69" s="77" t="n"/>
      <c r="C69" s="77" t="n"/>
      <c r="D69" s="77" t="n"/>
      <c r="E69" s="77" t="n"/>
      <c r="F69" s="77" t="n"/>
      <c r="G69" s="77" t="n"/>
      <c r="H69" s="77" t="n"/>
    </row>
    <row r="70" ht="15.75" customHeight="1" s="360">
      <c r="A70" s="77" t="n"/>
      <c r="B70" s="77" t="n"/>
      <c r="C70" s="77" t="n"/>
      <c r="D70" s="77" t="n"/>
      <c r="E70" s="77" t="n"/>
      <c r="F70" s="77" t="n"/>
      <c r="G70" s="77" t="n"/>
      <c r="H70" s="77" t="n"/>
    </row>
    <row r="71" ht="15.75" customHeight="1" s="360">
      <c r="A71" s="77" t="n"/>
      <c r="B71" s="77" t="n"/>
      <c r="C71" s="77" t="n"/>
      <c r="D71" s="77" t="n"/>
      <c r="E71" s="77" t="n"/>
      <c r="F71" s="77" t="n"/>
      <c r="G71" s="77" t="n"/>
      <c r="H71" s="77" t="n"/>
    </row>
    <row r="72" ht="15.75" customHeight="1" s="360">
      <c r="A72" s="77" t="n"/>
      <c r="B72" s="77" t="n"/>
      <c r="C72" s="77" t="n"/>
      <c r="D72" s="77" t="n"/>
      <c r="E72" s="77" t="n"/>
      <c r="F72" s="77" t="n"/>
      <c r="G72" s="77" t="n"/>
      <c r="H72" s="77" t="n"/>
    </row>
    <row r="73" ht="15.75" customHeight="1" s="360">
      <c r="A73" s="77" t="n"/>
      <c r="B73" s="77" t="n"/>
      <c r="C73" s="77" t="n"/>
      <c r="D73" s="77" t="n"/>
      <c r="E73" s="77" t="n"/>
      <c r="F73" s="77" t="n"/>
      <c r="G73" s="77" t="n"/>
      <c r="H73" s="77" t="n"/>
    </row>
    <row r="74" ht="15.75" customHeight="1" s="360">
      <c r="A74" s="77" t="n"/>
      <c r="B74" s="77" t="n"/>
      <c r="C74" s="77" t="n"/>
      <c r="D74" s="77" t="n"/>
      <c r="E74" s="77" t="n"/>
      <c r="F74" s="77" t="n"/>
      <c r="G74" s="77" t="n"/>
      <c r="H74" s="77" t="n"/>
    </row>
    <row r="75" ht="15.75" customHeight="1" s="360">
      <c r="A75" s="77" t="n"/>
      <c r="B75" s="77" t="n"/>
      <c r="C75" s="77" t="n"/>
      <c r="D75" s="77" t="n"/>
      <c r="E75" s="77" t="n"/>
      <c r="F75" s="77" t="n"/>
      <c r="G75" s="77" t="n"/>
      <c r="H75" s="77" t="n"/>
    </row>
    <row r="76" ht="15.75" customHeight="1" s="360">
      <c r="A76" s="77" t="n"/>
      <c r="B76" s="77" t="n"/>
      <c r="C76" s="77" t="n"/>
      <c r="D76" s="77" t="n"/>
      <c r="E76" s="77" t="n"/>
      <c r="F76" s="77" t="n"/>
      <c r="G76" s="77" t="n"/>
      <c r="H76" s="77" t="n"/>
    </row>
    <row r="77" ht="15.75" customHeight="1" s="360">
      <c r="A77" s="77" t="n"/>
      <c r="B77" s="77" t="n"/>
      <c r="C77" s="77" t="n"/>
      <c r="D77" s="77" t="n"/>
      <c r="E77" s="77" t="n"/>
      <c r="F77" s="77" t="n"/>
      <c r="G77" s="77" t="n"/>
      <c r="H77" s="77" t="n"/>
    </row>
    <row r="78" ht="15.75" customHeight="1" s="360">
      <c r="A78" s="77" t="n"/>
      <c r="B78" s="77" t="n"/>
      <c r="C78" s="77" t="n"/>
      <c r="D78" s="77" t="n"/>
      <c r="E78" s="77" t="n"/>
      <c r="F78" s="77" t="n"/>
      <c r="G78" s="77" t="n"/>
      <c r="H78" s="77" t="n"/>
    </row>
    <row r="79" ht="15.75" customHeight="1" s="360">
      <c r="A79" s="77" t="n"/>
      <c r="B79" s="77" t="n"/>
      <c r="C79" s="77" t="n"/>
      <c r="D79" s="77" t="n"/>
      <c r="E79" s="77" t="n"/>
      <c r="F79" s="77" t="n"/>
      <c r="G79" s="77" t="n"/>
      <c r="H79" s="77" t="n"/>
    </row>
    <row r="80" ht="15.75" customHeight="1" s="360">
      <c r="A80" s="77" t="n"/>
      <c r="B80" s="77" t="n"/>
      <c r="C80" s="77" t="n"/>
      <c r="D80" s="77" t="n"/>
      <c r="E80" s="77" t="n"/>
      <c r="F80" s="77" t="n"/>
      <c r="G80" s="77" t="n"/>
      <c r="H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</row>
    <row r="88" ht="15.75" customHeight="1" s="360">
      <c r="A88" s="77" t="n"/>
      <c r="B88" s="77" t="n"/>
      <c r="C88" s="77" t="n"/>
      <c r="D88" s="77" t="n"/>
      <c r="E88" s="77" t="n"/>
      <c r="F88" s="77" t="n"/>
      <c r="G88" s="77" t="n"/>
      <c r="H88" s="77" t="n"/>
    </row>
    <row r="89" ht="15.75" customHeight="1" s="360">
      <c r="A89" s="77" t="n"/>
      <c r="B89" s="77" t="n"/>
      <c r="C89" s="77" t="n"/>
      <c r="D89" s="77" t="n"/>
      <c r="E89" s="77" t="n"/>
      <c r="F89" s="77" t="n"/>
      <c r="G89" s="77" t="n"/>
      <c r="H89" s="77" t="n"/>
    </row>
    <row r="90" ht="15.75" customHeight="1" s="360">
      <c r="A90" s="77" t="n"/>
      <c r="B90" s="77" t="n"/>
      <c r="C90" s="77" t="n"/>
      <c r="D90" s="77" t="n"/>
      <c r="E90" s="77" t="n"/>
      <c r="F90" s="77" t="n"/>
      <c r="G90" s="77" t="n"/>
      <c r="H90" s="77" t="n"/>
    </row>
    <row r="91" ht="15.75" customHeight="1" s="360">
      <c r="A91" s="77" t="n"/>
      <c r="B91" s="77" t="n"/>
      <c r="C91" s="77" t="n"/>
      <c r="D91" s="77" t="n"/>
      <c r="E91" s="77" t="n"/>
      <c r="F91" s="77" t="n"/>
      <c r="G91" s="77" t="n"/>
      <c r="H91" s="77" t="n"/>
    </row>
    <row r="92" ht="15.75" customHeight="1" s="360">
      <c r="A92" s="77" t="n"/>
      <c r="B92" s="77" t="n"/>
      <c r="C92" s="77" t="n"/>
      <c r="D92" s="77" t="n"/>
      <c r="E92" s="77" t="n"/>
      <c r="F92" s="77" t="n"/>
      <c r="G92" s="77" t="n"/>
      <c r="H92" s="77" t="n"/>
    </row>
    <row r="93" ht="15.75" customHeight="1" s="360">
      <c r="A93" s="77" t="n"/>
      <c r="B93" s="77" t="n"/>
      <c r="C93" s="77" t="n"/>
      <c r="D93" s="77" t="n"/>
      <c r="E93" s="77" t="n"/>
      <c r="F93" s="77" t="n"/>
      <c r="G93" s="77" t="n"/>
      <c r="H93" s="77" t="n"/>
    </row>
    <row r="94" ht="15.75" customHeight="1" s="360">
      <c r="A94" s="77" t="n"/>
      <c r="B94" s="77" t="n"/>
      <c r="C94" s="77" t="n"/>
      <c r="D94" s="77" t="n"/>
      <c r="E94" s="77" t="n"/>
      <c r="F94" s="77" t="n"/>
      <c r="G94" s="77" t="n"/>
      <c r="H94" s="77" t="n"/>
    </row>
    <row r="95" ht="15.75" customHeight="1" s="360">
      <c r="A95" s="77" t="n"/>
      <c r="B95" s="77" t="n"/>
      <c r="C95" s="77" t="n"/>
      <c r="D95" s="77" t="n"/>
      <c r="E95" s="77" t="n"/>
      <c r="F95" s="77" t="n"/>
      <c r="G95" s="77" t="n"/>
      <c r="H95" s="77" t="n"/>
    </row>
    <row r="96" ht="15.75" customHeight="1" s="360">
      <c r="A96" s="77" t="n"/>
      <c r="B96" s="77" t="n"/>
      <c r="C96" s="77" t="n"/>
      <c r="D96" s="77" t="n"/>
      <c r="E96" s="77" t="n"/>
      <c r="F96" s="77" t="n"/>
      <c r="G96" s="77" t="n"/>
      <c r="H96" s="77" t="n"/>
    </row>
    <row r="97" ht="15.75" customHeight="1" s="360">
      <c r="A97" s="77" t="n"/>
      <c r="B97" s="77" t="n"/>
      <c r="C97" s="77" t="n"/>
      <c r="D97" s="77" t="n"/>
      <c r="E97" s="77" t="n"/>
      <c r="F97" s="77" t="n"/>
      <c r="G97" s="77" t="n"/>
      <c r="H97" s="77" t="n"/>
    </row>
    <row r="98" ht="15.75" customHeight="1" s="360">
      <c r="A98" s="77" t="n"/>
      <c r="B98" s="77" t="n"/>
      <c r="C98" s="77" t="n"/>
      <c r="D98" s="77" t="n"/>
      <c r="E98" s="77" t="n"/>
      <c r="F98" s="77" t="n"/>
      <c r="G98" s="77" t="n"/>
      <c r="H98" s="77" t="n"/>
    </row>
    <row r="99" ht="15.75" customHeight="1" s="360">
      <c r="A99" s="77" t="n"/>
      <c r="B99" s="77" t="n"/>
      <c r="C99" s="77" t="n"/>
      <c r="D99" s="77" t="n"/>
      <c r="E99" s="77" t="n"/>
      <c r="F99" s="77" t="n"/>
      <c r="G99" s="77" t="n"/>
      <c r="H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  <c r="G126" s="77" t="n"/>
      <c r="H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  <c r="G127" s="77" t="n"/>
      <c r="H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  <c r="G128" s="77" t="n"/>
      <c r="H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  <c r="G129" s="77" t="n"/>
      <c r="H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  <c r="G130" s="77" t="n"/>
      <c r="H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  <c r="G131" s="77" t="n"/>
      <c r="H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  <c r="G151" s="77" t="n"/>
      <c r="H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  <c r="G152" s="77" t="n"/>
      <c r="H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  <c r="G153" s="77" t="n"/>
      <c r="H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  <c r="G154" s="77" t="n"/>
      <c r="H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  <c r="G155" s="77" t="n"/>
      <c r="H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  <c r="G156" s="77" t="n"/>
      <c r="H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  <c r="G157" s="77" t="n"/>
      <c r="H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</row>
  </sheetData>
  <mergeCells count="2">
    <mergeCell ref="A1:D1"/>
    <mergeCell ref="E1:H1"/>
  </mergeCells>
  <dataValidations count="1">
    <dataValidation sqref="E3:E9" showDropDown="0" showInputMessage="0" showErrorMessage="1" allowBlank="1" type="list">
      <formula1>"✅,❌"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selection activeCell="A1" sqref="A1"/>
    </sheetView>
  </sheetViews>
  <sheetFormatPr baseColWidth="8" defaultColWidth="12.63" defaultRowHeight="15" customHeight="1"/>
  <cols>
    <col width="2" customWidth="1" style="360" min="1" max="1"/>
    <col width="32" customWidth="1" style="360" min="2" max="2"/>
    <col width="14" customWidth="1" style="360" min="3" max="14"/>
    <col width="8.630000000000001" customWidth="1" style="360" min="15" max="26"/>
  </cols>
  <sheetData>
    <row r="1" ht="27.75" customHeight="1" s="360">
      <c r="A1" s="77" t="n"/>
      <c r="B1" s="381" t="inlineStr">
        <is>
          <t>PlasHub — Supuestos &amp; P&amp;L Stage 1 | 12 Meses | Neo Amaru Global S.A.C.</t>
        </is>
      </c>
    </row>
    <row r="2" ht="15" customHeight="1" s="360">
      <c r="A2" s="77" t="n"/>
      <c r="B2" s="101" t="inlineStr">
        <is>
          <t>Azul=input  |  Negro=fórmula  |  Verde=link hoja  |  Fondo amarillo=supuesto crítico</t>
        </is>
      </c>
    </row>
    <row r="3">
      <c r="A3" s="77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</row>
    <row r="4" ht="21.75" customHeight="1" s="360">
      <c r="A4" s="77" t="n"/>
      <c r="B4" s="382" t="inlineStr">
        <is>
          <t>A. SUPUESTOS OPERATIVOS — Inputs (texto azul = modificable)</t>
        </is>
      </c>
    </row>
    <row r="5" ht="24.75" customHeight="1" s="360">
      <c r="A5" s="77" t="n"/>
      <c r="B5" s="103" t="inlineStr">
        <is>
          <t>Parámetro</t>
        </is>
      </c>
      <c r="C5" s="103" t="inlineStr">
        <is>
          <t>M1</t>
        </is>
      </c>
      <c r="D5" s="103" t="inlineStr">
        <is>
          <t>M2</t>
        </is>
      </c>
      <c r="E5" s="103" t="inlineStr">
        <is>
          <t>M3</t>
        </is>
      </c>
      <c r="F5" s="103" t="inlineStr">
        <is>
          <t>M4</t>
        </is>
      </c>
      <c r="G5" s="103" t="inlineStr">
        <is>
          <t>M5</t>
        </is>
      </c>
      <c r="H5" s="103" t="inlineStr">
        <is>
          <t>M6</t>
        </is>
      </c>
      <c r="I5" s="103" t="inlineStr">
        <is>
          <t>M7</t>
        </is>
      </c>
      <c r="J5" s="103" t="inlineStr">
        <is>
          <t>M8</t>
        </is>
      </c>
      <c r="K5" s="103" t="inlineStr">
        <is>
          <t>M9</t>
        </is>
      </c>
      <c r="L5" s="103" t="inlineStr">
        <is>
          <t>M10</t>
        </is>
      </c>
      <c r="M5" s="103" t="inlineStr">
        <is>
          <t>M11</t>
        </is>
      </c>
      <c r="N5" s="103" t="inlineStr">
        <is>
          <t>M12</t>
        </is>
      </c>
    </row>
    <row r="6" ht="19.5" customHeight="1" s="360">
      <c r="A6" s="77" t="n"/>
      <c r="B6" s="104" t="inlineStr">
        <is>
          <t>Volumen recibido (ton/mes)</t>
        </is>
      </c>
      <c r="C6" s="106" t="n">
        <v>80</v>
      </c>
      <c r="D6" s="106" t="n">
        <v>80</v>
      </c>
      <c r="E6" s="106" t="n">
        <v>80</v>
      </c>
      <c r="F6" s="106" t="n">
        <v>80</v>
      </c>
      <c r="G6" s="106" t="n">
        <v>80</v>
      </c>
      <c r="H6" s="106" t="n">
        <v>80</v>
      </c>
      <c r="I6" s="106" t="n">
        <v>80</v>
      </c>
      <c r="J6" s="106" t="n">
        <v>80</v>
      </c>
      <c r="K6" s="106" t="n">
        <v>80</v>
      </c>
      <c r="L6" s="106" t="n">
        <v>80</v>
      </c>
      <c r="M6" s="106" t="n">
        <v>80</v>
      </c>
      <c r="N6" s="106" t="n">
        <v>80</v>
      </c>
    </row>
    <row r="7" ht="19.5" customHeight="1" s="360">
      <c r="A7" s="77" t="n"/>
      <c r="B7" s="110" t="inlineStr">
        <is>
          <t>Precio compra ponderado ($/t)</t>
        </is>
      </c>
      <c r="C7" s="109" t="n">
        <v>190</v>
      </c>
      <c r="D7" s="109" t="n">
        <v>130</v>
      </c>
      <c r="E7" s="109" t="n">
        <v>130</v>
      </c>
      <c r="F7" s="109" t="n">
        <v>130</v>
      </c>
      <c r="G7" s="109" t="n">
        <v>130</v>
      </c>
      <c r="H7" s="109" t="n">
        <v>130</v>
      </c>
      <c r="I7" s="109" t="n">
        <v>130</v>
      </c>
      <c r="J7" s="109" t="n">
        <v>130</v>
      </c>
      <c r="K7" s="109" t="n">
        <v>130</v>
      </c>
      <c r="L7" s="109" t="n">
        <v>130</v>
      </c>
      <c r="M7" s="109" t="n">
        <v>130</v>
      </c>
      <c r="N7" s="109" t="n">
        <v>130</v>
      </c>
    </row>
    <row r="8" ht="19.5" customHeight="1" s="360">
      <c r="A8" s="77" t="n"/>
      <c r="B8" s="110" t="inlineStr">
        <is>
          <t>Precio venta ponderado ($/t)</t>
        </is>
      </c>
      <c r="C8" s="109" t="n">
        <v>400</v>
      </c>
      <c r="D8" s="109" t="n">
        <v>248</v>
      </c>
      <c r="E8" s="109" t="n">
        <v>248</v>
      </c>
      <c r="F8" s="109" t="n">
        <v>248</v>
      </c>
      <c r="G8" s="109" t="n">
        <v>248</v>
      </c>
      <c r="H8" s="109" t="n">
        <v>248</v>
      </c>
      <c r="I8" s="109" t="n">
        <v>248</v>
      </c>
      <c r="J8" s="109" t="n">
        <v>248</v>
      </c>
      <c r="K8" s="109" t="n">
        <v>248</v>
      </c>
      <c r="L8" s="109" t="n">
        <v>248</v>
      </c>
      <c r="M8" s="109" t="n">
        <v>248</v>
      </c>
      <c r="N8" s="109" t="n">
        <v>248</v>
      </c>
    </row>
    <row r="9" ht="19.5" customHeight="1" s="360">
      <c r="A9" s="77" t="n"/>
      <c r="B9" s="110" t="inlineStr">
        <is>
          <t>Flete inbound ($/t) + Logistica</t>
        </is>
      </c>
      <c r="C9" s="109" t="n">
        <v>75</v>
      </c>
      <c r="D9" s="109" t="n">
        <v>12</v>
      </c>
      <c r="E9" s="109" t="n">
        <v>12</v>
      </c>
      <c r="F9" s="109" t="n">
        <v>12</v>
      </c>
      <c r="G9" s="109" t="n">
        <v>12</v>
      </c>
      <c r="H9" s="109" t="n">
        <v>12</v>
      </c>
      <c r="I9" s="109" t="n">
        <v>12</v>
      </c>
      <c r="J9" s="109" t="n">
        <v>12</v>
      </c>
      <c r="K9" s="109" t="n">
        <v>12</v>
      </c>
      <c r="L9" s="109" t="n">
        <v>12</v>
      </c>
      <c r="M9" s="109" t="n">
        <v>12</v>
      </c>
      <c r="N9" s="109" t="n">
        <v>12</v>
      </c>
    </row>
    <row r="10" ht="19.5" customHeight="1" s="360">
      <c r="A10" s="77" t="n"/>
      <c r="B10" s="110" t="inlineStr">
        <is>
          <t>Días ciclo de caja (pago→cobro)</t>
        </is>
      </c>
      <c r="C10" s="111" t="n">
        <v>45</v>
      </c>
      <c r="D10" s="111" t="n">
        <v>45</v>
      </c>
      <c r="E10" s="111" t="n">
        <v>45</v>
      </c>
      <c r="F10" s="111" t="n">
        <v>40</v>
      </c>
      <c r="G10" s="111" t="n">
        <v>40</v>
      </c>
      <c r="H10" s="111" t="n">
        <v>35</v>
      </c>
      <c r="I10" s="111" t="n">
        <v>35</v>
      </c>
      <c r="J10" s="111" t="n">
        <v>35</v>
      </c>
      <c r="K10" s="111" t="n">
        <v>30</v>
      </c>
      <c r="L10" s="111" t="n">
        <v>30</v>
      </c>
      <c r="M10" s="111" t="n">
        <v>30</v>
      </c>
      <c r="N10" s="111" t="n">
        <v>30</v>
      </c>
    </row>
    <row r="11">
      <c r="A11" s="77" t="n"/>
      <c r="B11" s="77" t="n"/>
      <c r="C11" s="77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</row>
    <row r="12" ht="21.75" customHeight="1" s="360">
      <c r="A12" s="77" t="n"/>
      <c r="B12" s="382" t="inlineStr">
        <is>
          <t>B. OPEX FIJO MENSUAL — Inputs</t>
        </is>
      </c>
    </row>
    <row r="13" ht="21.75" customHeight="1" s="360">
      <c r="A13" s="77" t="n"/>
      <c r="B13" s="112" t="inlineStr">
        <is>
          <t>Concepto OPEX</t>
        </is>
      </c>
      <c r="C13" s="113" t="inlineStr">
        <is>
          <t>$/mes</t>
        </is>
      </c>
      <c r="D13" s="112" t="inlineStr">
        <is>
          <t>Descripción / nota</t>
        </is>
      </c>
    </row>
    <row r="14" ht="39.75" customHeight="1" s="360">
      <c r="A14" s="77" t="n"/>
      <c r="B14" s="120" t="inlineStr">
        <is>
          <t>Renta nave (subarrendamiento ~900 m²)</t>
        </is>
      </c>
      <c r="C14" s="119">
        <f>2700*1.18</f>
        <v/>
      </c>
      <c r="D14" s="175" t="inlineStr">
        <is>
          <t>Subarrendamiento Lima Norte $4,800–6,400/mes. Ref: ~$7/m² mercado industrial 2026.</t>
        </is>
      </c>
    </row>
    <row r="15" ht="39.75" customHeight="1" s="360">
      <c r="A15" s="77" t="n"/>
      <c r="B15" s="110" t="inlineStr">
        <is>
          <t>Salario Jefe de Planta / Site Manager</t>
        </is>
      </c>
      <c r="C15" s="109" t="n">
        <v>1100</v>
      </c>
      <c r="D15" s="118" t="inlineStr">
        <is>
          <t>Ing. industrial SENATI. Bruto S/4,500/mes ≈ $1,200 (incl. CTS y vacaciones).</t>
        </is>
      </c>
    </row>
    <row r="16" ht="39.75" customHeight="1" s="360">
      <c r="A16" s="77" t="n"/>
      <c r="B16" s="120" t="inlineStr">
        <is>
          <t>Salario operarios planta (×2)</t>
        </is>
      </c>
      <c r="C16" s="119" t="n">
        <v>1100</v>
      </c>
      <c r="D16" s="175" t="inlineStr">
        <is>
          <t>2 operarios S/1,500/mes c/u. M1: considerar solo 1 si volumen &lt; 50t.</t>
        </is>
      </c>
    </row>
    <row r="17" ht="39.75" customHeight="1" s="360">
      <c r="A17" s="77" t="n"/>
      <c r="B17" s="110" t="inlineStr">
        <is>
          <t>Electricidad 3-fase</t>
        </is>
      </c>
      <c r="C17" s="109" t="n">
        <v>350</v>
      </c>
      <c r="D17" s="118" t="inlineStr">
        <is>
          <t>~900-1,500 kWh/mes. Tarifa industrial Lima: ~S/0.40/kWh ≈ $100-160. Buffer $350.</t>
        </is>
      </c>
    </row>
    <row r="18" ht="39.75" customHeight="1" s="360">
      <c r="A18" s="77" t="n"/>
      <c r="B18" s="120" t="inlineStr">
        <is>
          <t>Seguridad / vigilancia</t>
        </is>
      </c>
      <c r="C18" s="119">
        <f>400+700</f>
        <v/>
      </c>
      <c r="D18" s="175" t="inlineStr">
        <is>
          <t>Empresa seguridad S/1,500/mes. M1: CCTV+alarma alternativa.</t>
        </is>
      </c>
    </row>
    <row r="19" ht="39.75" customHeight="1" s="360">
      <c r="A19" s="77" t="n"/>
      <c r="B19" s="110" t="inlineStr">
        <is>
          <t>Mantenimiento equipos</t>
        </is>
      </c>
      <c r="C19" s="109" t="n">
        <v>50</v>
      </c>
      <c r="D19" s="118" t="inlineStr">
        <is>
          <t>Calibración báscula (S/200/año) + correctivo esporádico. Sin maquinaria pesada.</t>
        </is>
      </c>
    </row>
    <row r="20" ht="39.75" customHeight="1" s="360">
      <c r="A20" s="77" t="n"/>
      <c r="B20" s="120" t="inlineStr">
        <is>
          <t xml:space="preserve">Contabilidad / contador </t>
        </is>
      </c>
      <c r="C20" s="119" t="n">
        <v>500</v>
      </c>
      <c r="D20" s="175" t="inlineStr">
        <is>
          <t>Contador RMT S/800-1,200/mes. Incluye libros, SUNAT, planilla.</t>
        </is>
      </c>
    </row>
    <row r="21" ht="39.75" customHeight="1" s="360">
      <c r="A21" s="77" t="n"/>
      <c r="B21" s="110" t="inlineStr">
        <is>
          <t>EPP, útiles y consumibles</t>
        </is>
      </c>
      <c r="C21" s="109" t="n">
        <v>200</v>
      </c>
      <c r="D21" s="118" t="inlineStr">
        <is>
          <t>EPP S/300 + materiales registro S/200 = S/500/mes ≈ $135. Buffer $200.</t>
        </is>
      </c>
    </row>
    <row r="22" ht="39.75" customHeight="1" s="360">
      <c r="A22" s="77" t="n"/>
      <c r="B22" s="120" t="inlineStr">
        <is>
          <t>Comunicaciones (internet + móvil)</t>
        </is>
      </c>
      <c r="C22" s="119" t="n">
        <v>100</v>
      </c>
      <c r="D22" s="175" t="inlineStr">
        <is>
          <t>Internet industrial S/150 + móviles S/100 = S/250 ≈ $70. Buffer $100.</t>
        </is>
      </c>
    </row>
    <row r="23" ht="39.75" customHeight="1" s="360">
      <c r="A23" s="77" t="n"/>
      <c r="B23" s="121" t="inlineStr">
        <is>
          <t>Servicios Basicos</t>
        </is>
      </c>
      <c r="C23" s="119" t="n">
        <v>100</v>
      </c>
      <c r="D23" s="175" t="n"/>
    </row>
    <row r="24" ht="24.75" customHeight="1" s="360">
      <c r="A24" s="77" t="n"/>
      <c r="B24" s="122" t="inlineStr">
        <is>
          <t>Contingencia OPEX (5%)</t>
        </is>
      </c>
      <c r="C24" s="123">
        <f>ROUND(SUM(C14:C23)*0.05,0)</f>
        <v/>
      </c>
      <c r="D24" s="118" t="inlineStr">
        <is>
          <t>Buffer 5% del OPEX base para imprevistos. No usar rutinariamente.</t>
        </is>
      </c>
    </row>
    <row r="25" ht="21.75" customHeight="1" s="360">
      <c r="A25" s="77" t="n"/>
      <c r="B25" s="124" t="inlineStr">
        <is>
          <t>TOTAL OPEX FIJO MENSUAL</t>
        </is>
      </c>
      <c r="C25" s="125">
        <f>SUM(C14:C24)</f>
        <v/>
      </c>
      <c r="D25" s="383" t="inlineStr">
        <is>
          <t>Break-even (t/mes) = OPEX / Margen por tonelada — ver fórmula en sección C</t>
        </is>
      </c>
    </row>
    <row r="26" ht="15.75" customHeight="1" s="360">
      <c r="A26" s="77" t="n"/>
      <c r="B26" s="77" t="n"/>
      <c r="C26" s="77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</row>
    <row r="27" ht="21.75" customHeight="1" s="360">
      <c r="A27" s="77" t="n"/>
      <c r="B27" s="382" t="inlineStr">
        <is>
          <t>C. P&amp;L MENSUAL — 12 MESES (fórmulas dinámicas)</t>
        </is>
      </c>
    </row>
    <row r="28" ht="24.75" customHeight="1" s="360">
      <c r="A28" s="77" t="n"/>
      <c r="B28" s="103" t="inlineStr">
        <is>
          <t>Concepto P&amp;L</t>
        </is>
      </c>
      <c r="C28" s="103" t="inlineStr">
        <is>
          <t>M1</t>
        </is>
      </c>
      <c r="D28" s="103" t="inlineStr">
        <is>
          <t>M2</t>
        </is>
      </c>
      <c r="E28" s="103" t="inlineStr">
        <is>
          <t>M3</t>
        </is>
      </c>
      <c r="F28" s="103" t="inlineStr">
        <is>
          <t>M4</t>
        </is>
      </c>
      <c r="G28" s="103" t="inlineStr">
        <is>
          <t>M5</t>
        </is>
      </c>
      <c r="H28" s="103" t="inlineStr">
        <is>
          <t>M6</t>
        </is>
      </c>
      <c r="I28" s="103" t="inlineStr">
        <is>
          <t>M7</t>
        </is>
      </c>
      <c r="J28" s="103" t="inlineStr">
        <is>
          <t>M8</t>
        </is>
      </c>
      <c r="K28" s="103" t="inlineStr">
        <is>
          <t>M9</t>
        </is>
      </c>
      <c r="L28" s="103" t="inlineStr">
        <is>
          <t>M10</t>
        </is>
      </c>
      <c r="M28" s="103" t="inlineStr">
        <is>
          <t>M11</t>
        </is>
      </c>
      <c r="N28" s="103" t="inlineStr">
        <is>
          <t>M12</t>
        </is>
      </c>
    </row>
    <row r="29" ht="19.5" customHeight="1" s="360">
      <c r="A29" s="77" t="n"/>
      <c r="B29" s="110" t="inlineStr">
        <is>
          <t>Ingresos por ventas ($)</t>
        </is>
      </c>
      <c r="C29" s="123">
        <f>C6*C8</f>
        <v/>
      </c>
      <c r="D29" s="123">
        <f>D6*D8</f>
        <v/>
      </c>
      <c r="E29" s="123">
        <f>E6*E8</f>
        <v/>
      </c>
      <c r="F29" s="123">
        <f>F6*F8</f>
        <v/>
      </c>
      <c r="G29" s="123">
        <f>G6*G8</f>
        <v/>
      </c>
      <c r="H29" s="123">
        <f>H6*H8</f>
        <v/>
      </c>
      <c r="I29" s="123">
        <f>I6*I8</f>
        <v/>
      </c>
      <c r="J29" s="123">
        <f>J6*J8</f>
        <v/>
      </c>
      <c r="K29" s="123">
        <f>K6*K8</f>
        <v/>
      </c>
      <c r="L29" s="123">
        <f>L6*L8</f>
        <v/>
      </c>
      <c r="M29" s="123">
        <f>M6*M8</f>
        <v/>
      </c>
      <c r="N29" s="123">
        <f>N6*N8</f>
        <v/>
      </c>
    </row>
    <row r="30" ht="19.5" customHeight="1" s="360">
      <c r="A30" s="77" t="n"/>
      <c r="B30" s="110" t="inlineStr">
        <is>
          <t>COGS — Compra de material ($)</t>
        </is>
      </c>
      <c r="C30" s="123">
        <f>-C6*C7</f>
        <v/>
      </c>
      <c r="D30" s="123">
        <f>-D6*D7</f>
        <v/>
      </c>
      <c r="E30" s="123">
        <f>-E6*E7</f>
        <v/>
      </c>
      <c r="F30" s="123">
        <f>-F6*F7</f>
        <v/>
      </c>
      <c r="G30" s="123">
        <f>-G6*G7</f>
        <v/>
      </c>
      <c r="H30" s="123">
        <f>-H6*H7</f>
        <v/>
      </c>
      <c r="I30" s="123">
        <f>-I6*I7</f>
        <v/>
      </c>
      <c r="J30" s="123">
        <f>-J6*J7</f>
        <v/>
      </c>
      <c r="K30" s="123">
        <f>-K6*K7</f>
        <v/>
      </c>
      <c r="L30" s="123">
        <f>-L6*L7</f>
        <v/>
      </c>
      <c r="M30" s="123">
        <f>-M6*M7</f>
        <v/>
      </c>
      <c r="N30" s="123">
        <f>-N6*N7</f>
        <v/>
      </c>
    </row>
    <row r="31" ht="19.5" customHeight="1" s="360">
      <c r="A31" s="77" t="n"/>
      <c r="B31" s="110" t="inlineStr">
        <is>
          <t>Flete inbound ($)</t>
        </is>
      </c>
      <c r="C31" s="123">
        <f>-C6*C9</f>
        <v/>
      </c>
      <c r="D31" s="123">
        <f>-D6*D9</f>
        <v/>
      </c>
      <c r="E31" s="123">
        <f>-E6*E9</f>
        <v/>
      </c>
      <c r="F31" s="123">
        <f>-F6*F9</f>
        <v/>
      </c>
      <c r="G31" s="123">
        <f>-G6*G9</f>
        <v/>
      </c>
      <c r="H31" s="123">
        <f>-H6*H9</f>
        <v/>
      </c>
      <c r="I31" s="123">
        <f>-I6*I9</f>
        <v/>
      </c>
      <c r="J31" s="123">
        <f>-J6*J9</f>
        <v/>
      </c>
      <c r="K31" s="123">
        <f>-K6*K9</f>
        <v/>
      </c>
      <c r="L31" s="123">
        <f>-L6*L9</f>
        <v/>
      </c>
      <c r="M31" s="123">
        <f>-M6*M9</f>
        <v/>
      </c>
      <c r="N31" s="123">
        <f>-N6*N9</f>
        <v/>
      </c>
    </row>
    <row r="32" ht="19.5" customHeight="1" s="360">
      <c r="A32" s="77" t="n"/>
      <c r="B32" s="127" t="inlineStr">
        <is>
          <t>MARGEN BRUTO ($)</t>
        </is>
      </c>
      <c r="C32" s="128">
        <f>C29+C30+C31</f>
        <v/>
      </c>
      <c r="D32" s="128">
        <f>D29+D30+D31</f>
        <v/>
      </c>
      <c r="E32" s="128">
        <f>E29+E30+E31</f>
        <v/>
      </c>
      <c r="F32" s="128">
        <f>F29+F30+F31</f>
        <v/>
      </c>
      <c r="G32" s="128">
        <f>G29+G30+G31</f>
        <v/>
      </c>
      <c r="H32" s="128">
        <f>H29+H30+H31</f>
        <v/>
      </c>
      <c r="I32" s="128">
        <f>I29+I30+I31</f>
        <v/>
      </c>
      <c r="J32" s="128">
        <f>J29+J30+J31</f>
        <v/>
      </c>
      <c r="K32" s="128">
        <f>K29+K30+K31</f>
        <v/>
      </c>
      <c r="L32" s="128">
        <f>L29+L30+L31</f>
        <v/>
      </c>
      <c r="M32" s="128">
        <f>M29+M30+M31</f>
        <v/>
      </c>
      <c r="N32" s="128">
        <f>N29+N30+N31</f>
        <v/>
      </c>
    </row>
    <row r="33" ht="18" customHeight="1" s="360">
      <c r="A33" s="77" t="n"/>
      <c r="B33" s="122" t="inlineStr">
        <is>
          <t>% Margen bruto</t>
        </is>
      </c>
      <c r="C33" s="129">
        <f>IFERROR(C32/C29,0)</f>
        <v/>
      </c>
      <c r="D33" s="129">
        <f>IFERROR(D32/D29,0)</f>
        <v/>
      </c>
      <c r="E33" s="129">
        <f>IFERROR(E32/E29,0)</f>
        <v/>
      </c>
      <c r="F33" s="129">
        <f>IFERROR(F32/F29,0)</f>
        <v/>
      </c>
      <c r="G33" s="129">
        <f>IFERROR(G32/G29,0)</f>
        <v/>
      </c>
      <c r="H33" s="129">
        <f>IFERROR(H32/H29,0)</f>
        <v/>
      </c>
      <c r="I33" s="129">
        <f>IFERROR(I32/I29,0)</f>
        <v/>
      </c>
      <c r="J33" s="129">
        <f>IFERROR(J32/J29,0)</f>
        <v/>
      </c>
      <c r="K33" s="129">
        <f>IFERROR(K32/K29,0)</f>
        <v/>
      </c>
      <c r="L33" s="129">
        <f>IFERROR(L32/L29,0)</f>
        <v/>
      </c>
      <c r="M33" s="129">
        <f>IFERROR(M32/M29,0)</f>
        <v/>
      </c>
      <c r="N33" s="129">
        <f>IFERROR(N32/N29,0)</f>
        <v/>
      </c>
    </row>
    <row r="34" ht="19.5" customHeight="1" s="360">
      <c r="A34" s="77" t="n"/>
      <c r="B34" s="110" t="inlineStr">
        <is>
          <t>OPEX fijo mensual ($)</t>
        </is>
      </c>
      <c r="C34" s="123">
        <f>-C25</f>
        <v/>
      </c>
      <c r="D34" s="123">
        <f>-C25</f>
        <v/>
      </c>
      <c r="E34" s="123">
        <f>-C25</f>
        <v/>
      </c>
      <c r="F34" s="123">
        <f>-C25</f>
        <v/>
      </c>
      <c r="G34" s="123">
        <f>-C25</f>
        <v/>
      </c>
      <c r="H34" s="123">
        <f>-C25</f>
        <v/>
      </c>
      <c r="I34" s="123">
        <f>-C25</f>
        <v/>
      </c>
      <c r="J34" s="123">
        <f>-C25</f>
        <v/>
      </c>
      <c r="K34" s="123">
        <f>-C25</f>
        <v/>
      </c>
      <c r="L34" s="123">
        <f>-C25</f>
        <v/>
      </c>
      <c r="M34" s="123">
        <f>-C25</f>
        <v/>
      </c>
      <c r="N34" s="123">
        <f>-C25</f>
        <v/>
      </c>
    </row>
    <row r="35" ht="19.5" customHeight="1" s="360">
      <c r="A35" s="77" t="n"/>
      <c r="B35" s="124" t="inlineStr">
        <is>
          <t>EBITDA ($)</t>
        </is>
      </c>
      <c r="C35" s="125">
        <f>C32+C34</f>
        <v/>
      </c>
      <c r="D35" s="125">
        <f>D32+D34</f>
        <v/>
      </c>
      <c r="E35" s="125">
        <f>E32+E34</f>
        <v/>
      </c>
      <c r="F35" s="125">
        <f>F32+F34</f>
        <v/>
      </c>
      <c r="G35" s="125">
        <f>G32+G34</f>
        <v/>
      </c>
      <c r="H35" s="125">
        <f>H32+H34</f>
        <v/>
      </c>
      <c r="I35" s="125">
        <f>I32+I34</f>
        <v/>
      </c>
      <c r="J35" s="125">
        <f>J32+J34</f>
        <v/>
      </c>
      <c r="K35" s="125">
        <f>K32+K34</f>
        <v/>
      </c>
      <c r="L35" s="125">
        <f>L32+L34</f>
        <v/>
      </c>
      <c r="M35" s="125">
        <f>M32+M34</f>
        <v/>
      </c>
      <c r="N35" s="125">
        <f>N32+N34</f>
        <v/>
      </c>
    </row>
    <row r="36" ht="19.5" customHeight="1" s="360">
      <c r="A36" s="77" t="n"/>
      <c r="B36" s="130" t="inlineStr">
        <is>
          <t>EBITDA acumulado ($)</t>
        </is>
      </c>
      <c r="C36" s="131">
        <f>SUM($C$35:C35)</f>
        <v/>
      </c>
      <c r="D36" s="131">
        <f>SUM($C$35:D35)</f>
        <v/>
      </c>
      <c r="E36" s="131">
        <f>SUM($C$35:E35)</f>
        <v/>
      </c>
      <c r="F36" s="131">
        <f>SUM($C$35:F35)</f>
        <v/>
      </c>
      <c r="G36" s="131">
        <f>SUM($C$35:G35)</f>
        <v/>
      </c>
      <c r="H36" s="131">
        <f>SUM($C$35:H35)</f>
        <v/>
      </c>
      <c r="I36" s="131">
        <f>SUM($C$35:I35)</f>
        <v/>
      </c>
      <c r="J36" s="131">
        <f>SUM($C$35:J35)</f>
        <v/>
      </c>
      <c r="K36" s="131">
        <f>SUM($C$35:K35)</f>
        <v/>
      </c>
      <c r="L36" s="131">
        <f>SUM($C$35:L35)</f>
        <v/>
      </c>
      <c r="M36" s="131">
        <f>SUM($C$35:M35)</f>
        <v/>
      </c>
      <c r="N36" s="131">
        <f>SUM($C$35:N35)</f>
        <v/>
      </c>
    </row>
    <row r="37" ht="18" customHeight="1" s="360">
      <c r="A37" s="77" t="n"/>
      <c r="B37" s="122" t="inlineStr">
        <is>
          <t>Margen neto por tonelada ($/t)</t>
        </is>
      </c>
      <c r="C37" s="132">
        <f>IFERROR(C35/C6,0)</f>
        <v/>
      </c>
      <c r="D37" s="132">
        <f>IFERROR(D35/D6,0)</f>
        <v/>
      </c>
      <c r="E37" s="132">
        <f>IFERROR(E35/E6,0)</f>
        <v/>
      </c>
      <c r="F37" s="132">
        <f>IFERROR(F35/F6,0)</f>
        <v/>
      </c>
      <c r="G37" s="132">
        <f>IFERROR(G35/G6,0)</f>
        <v/>
      </c>
      <c r="H37" s="132">
        <f>IFERROR(H35/H6,0)</f>
        <v/>
      </c>
      <c r="I37" s="132">
        <f>IFERROR(I35/I6,0)</f>
        <v/>
      </c>
      <c r="J37" s="132">
        <f>IFERROR(J35/J6,0)</f>
        <v/>
      </c>
      <c r="K37" s="132">
        <f>IFERROR(K35/K6,0)</f>
        <v/>
      </c>
      <c r="L37" s="132">
        <f>IFERROR(L35/L6,0)</f>
        <v/>
      </c>
      <c r="M37" s="132">
        <f>IFERROR(M35/M6,0)</f>
        <v/>
      </c>
      <c r="N37" s="132">
        <f>IFERROR(N35/N6,0)</f>
        <v/>
      </c>
    </row>
    <row r="38" ht="21.75" customHeight="1" s="360">
      <c r="A38" s="77" t="n"/>
      <c r="B38" s="133" t="inlineStr">
        <is>
          <t>Break-even (t/mes con params M1):</t>
        </is>
      </c>
      <c r="C38" s="134">
        <f>IFERROR(ROUND(C25/(C32/C6),0)&amp;" t/mes","—")</f>
        <v/>
      </c>
      <c r="D38" s="384" t="inlineStr">
        <is>
          <t>Con parámetros M1 (ajusta inputs arriba para sensibilizar)</t>
        </is>
      </c>
    </row>
    <row r="39" ht="15.75" customHeight="1" s="360">
      <c r="A39" s="77" t="n"/>
      <c r="B39" s="77" t="n"/>
      <c r="C39" s="77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</row>
    <row r="40" ht="21.75" customHeight="1" s="360">
      <c r="A40" s="77" t="n"/>
      <c r="B40" s="382" t="inlineStr">
        <is>
          <t>D. PAYBACK — Recuperación de Inversión Inicial</t>
        </is>
      </c>
    </row>
    <row r="41" ht="21.75" customHeight="1" s="360">
      <c r="A41" s="77" t="n"/>
      <c r="B41" s="112" t="inlineStr">
        <is>
          <t>Métrica</t>
        </is>
      </c>
      <c r="H41" s="113" t="inlineStr">
        <is>
          <t>Valor</t>
        </is>
      </c>
      <c r="K41" s="112" t="inlineStr">
        <is>
          <t>Nota</t>
        </is>
      </c>
    </row>
    <row r="42" ht="39.75" customHeight="1" s="360">
      <c r="A42" s="77" t="n"/>
      <c r="B42" s="120" t="inlineStr">
        <is>
          <t>Capital inicial invertido (CAPEX)</t>
        </is>
      </c>
      <c r="H42" s="385">
        <f>'1. Project Profile'!F33</f>
        <v/>
      </c>
      <c r="K42" s="175" t="inlineStr">
        <is>
          <t>Link al CAPEX del Project Profile. Se actualiza automáticamente.</t>
        </is>
      </c>
    </row>
    <row r="43" ht="39.75" customHeight="1" s="360">
      <c r="A43" s="77" t="n"/>
      <c r="B43" s="110" t="inlineStr">
        <is>
          <t>Capital disponible confirmado</t>
        </is>
      </c>
      <c r="H43" s="139">
        <f>'1. Project Profile'!F34</f>
        <v/>
      </c>
      <c r="K43" s="118" t="inlineStr">
        <is>
          <t>Link al capital disponible. Alex $15K + Raúl $5K (desde ago-2026).</t>
        </is>
      </c>
    </row>
    <row r="44" ht="39.75" customHeight="1" s="360">
      <c r="A44" s="77" t="n"/>
      <c r="B44" s="120" t="inlineStr">
        <is>
          <t>Gap de financiamiento</t>
        </is>
      </c>
      <c r="H44" s="385">
        <f>'1. Project Profile'!F35</f>
        <v/>
      </c>
      <c r="K44" s="175" t="inlineStr">
        <is>
          <t>Gap = Capital - CAPEX. Negativo = falta financiamiento. Ver opciones en Project Profile.</t>
        </is>
      </c>
    </row>
    <row r="45" ht="39.75" customHeight="1" s="360">
      <c r="A45" s="77" t="n"/>
      <c r="B45" s="110" t="inlineStr">
        <is>
          <t>EBITDA acumulado Año 1</t>
        </is>
      </c>
      <c r="H45" s="140">
        <f>SUM(C35:N35)</f>
        <v/>
      </c>
      <c r="K45" s="118" t="inlineStr">
        <is>
          <t>Suma EBITDA 12 meses. Positivo = el año generó caja operativa.</t>
        </is>
      </c>
    </row>
    <row r="46" ht="15.75" customHeight="1" s="360">
      <c r="A46" s="77" t="n"/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</row>
    <row r="47" ht="21.75" customHeight="1" s="360">
      <c r="A47" s="77" t="n"/>
      <c r="B47" s="382" t="inlineStr">
        <is>
          <t>E. MARGEN BRUTO POR MATERIAL — Referencia precios Lima 2026</t>
        </is>
      </c>
    </row>
    <row r="48" ht="34.5" customHeight="1" s="360">
      <c r="A48" s="77" t="n"/>
      <c r="B48" s="103" t="inlineStr">
        <is>
          <t>Material</t>
        </is>
      </c>
      <c r="C48" s="103" t="inlineStr">
        <is>
          <t>Frec.</t>
        </is>
      </c>
      <c r="D48" s="103" t="inlineStr">
        <is>
          <t>Compra $/t</t>
        </is>
      </c>
      <c r="E48" s="103" t="inlineStr">
        <is>
          <t>Venta $/t</t>
        </is>
      </c>
      <c r="F48" s="103" t="inlineStr">
        <is>
          <t>Margen $/t</t>
        </is>
      </c>
      <c r="G48" s="103" t="inlineStr">
        <is>
          <t>Margen %</t>
        </is>
      </c>
      <c r="H48" s="103" t="inlineStr">
        <is>
          <t>Mix %</t>
        </is>
      </c>
      <c r="I48" s="103" t="inlineStr">
        <is>
          <t>Contrib. pond.</t>
        </is>
      </c>
      <c r="J48" s="77" t="n"/>
      <c r="K48" s="77" t="n"/>
      <c r="L48" s="77" t="n"/>
      <c r="M48" s="77" t="n"/>
      <c r="N48" s="77" t="n"/>
    </row>
    <row r="49" ht="19.5" customHeight="1" s="360">
      <c r="A49" s="77" t="n"/>
      <c r="B49" s="141" t="inlineStr">
        <is>
          <t>PET post-consumer</t>
        </is>
      </c>
      <c r="C49" s="142" t="inlineStr">
        <is>
          <t>Frecuente</t>
        </is>
      </c>
      <c r="D49" s="119" t="n">
        <v>120</v>
      </c>
      <c r="E49" s="119" t="n">
        <v>240</v>
      </c>
      <c r="F49" s="143">
        <f>E49-D49</f>
        <v/>
      </c>
      <c r="G49" s="144">
        <f>IFERROR(F49/E49,0)</f>
        <v/>
      </c>
      <c r="H49" s="145" t="n">
        <v>0.25</v>
      </c>
      <c r="I49" s="146">
        <f>F49*H49</f>
        <v/>
      </c>
      <c r="J49" s="77" t="n"/>
      <c r="K49" s="77" t="n"/>
      <c r="L49" s="77" t="n"/>
      <c r="M49" s="77" t="n"/>
      <c r="N49" s="77" t="n"/>
    </row>
    <row r="50" ht="19.5" customHeight="1" s="360">
      <c r="A50" s="77" t="n"/>
      <c r="B50" s="147" t="inlineStr">
        <is>
          <t>HDPE industrial</t>
        </is>
      </c>
      <c r="C50" s="148" t="inlineStr">
        <is>
          <t>Frecuente</t>
        </is>
      </c>
      <c r="D50" s="109" t="n">
        <v>140</v>
      </c>
      <c r="E50" s="109" t="n">
        <v>270</v>
      </c>
      <c r="F50" s="123">
        <f>E50-D50</f>
        <v/>
      </c>
      <c r="G50" s="149">
        <f>IFERROR(F50/E50,0)</f>
        <v/>
      </c>
      <c r="H50" s="150" t="n">
        <v>0.25</v>
      </c>
      <c r="I50" s="151">
        <f>F50*H50</f>
        <v/>
      </c>
      <c r="J50" s="77" t="n"/>
      <c r="K50" s="77" t="n"/>
      <c r="L50" s="77" t="n"/>
      <c r="M50" s="77" t="n"/>
      <c r="N50" s="77" t="n"/>
    </row>
    <row r="51" ht="19.5" customHeight="1" s="360">
      <c r="A51" s="77" t="n"/>
      <c r="B51" s="141" t="inlineStr">
        <is>
          <t>PP post-industrial</t>
        </is>
      </c>
      <c r="C51" s="142" t="inlineStr">
        <is>
          <t>Frecuente</t>
        </is>
      </c>
      <c r="D51" s="119" t="n">
        <v>130</v>
      </c>
      <c r="E51" s="119" t="n">
        <v>260</v>
      </c>
      <c r="F51" s="143">
        <f>E51-D51</f>
        <v/>
      </c>
      <c r="G51" s="144">
        <f>IFERROR(F51/E51,0)</f>
        <v/>
      </c>
      <c r="H51" s="145" t="n">
        <v>0.2</v>
      </c>
      <c r="I51" s="146">
        <f>F51*H51</f>
        <v/>
      </c>
      <c r="J51" s="77" t="n"/>
      <c r="K51" s="77" t="n"/>
      <c r="L51" s="77" t="n"/>
      <c r="M51" s="77" t="n"/>
      <c r="N51" s="77" t="n"/>
    </row>
    <row r="52" ht="19.5" customHeight="1" s="360">
      <c r="A52" s="77" t="n"/>
      <c r="B52" s="147" t="inlineStr">
        <is>
          <t>PE Film</t>
        </is>
      </c>
      <c r="C52" s="148" t="inlineStr">
        <is>
          <t>Frecuente</t>
        </is>
      </c>
      <c r="D52" s="109" t="n">
        <v>100</v>
      </c>
      <c r="E52" s="109" t="n">
        <v>200</v>
      </c>
      <c r="F52" s="123">
        <f>E52-D52</f>
        <v/>
      </c>
      <c r="G52" s="149">
        <f>IFERROR(F52/E52,0)</f>
        <v/>
      </c>
      <c r="H52" s="150" t="n">
        <v>0.15</v>
      </c>
      <c r="I52" s="151">
        <f>F52*H52</f>
        <v/>
      </c>
      <c r="J52" s="77" t="n"/>
      <c r="K52" s="77" t="n"/>
      <c r="L52" s="77" t="n"/>
      <c r="M52" s="77" t="n"/>
      <c r="N52" s="77" t="n"/>
    </row>
    <row r="53" ht="19.5" customHeight="1" s="360">
      <c r="A53" s="77" t="n"/>
      <c r="B53" s="141" t="inlineStr">
        <is>
          <t>Polvillo de Flake</t>
        </is>
      </c>
      <c r="C53" s="142" t="inlineStr">
        <is>
          <t>Frecuente</t>
        </is>
      </c>
      <c r="D53" s="119" t="n">
        <v>150</v>
      </c>
      <c r="E53" s="119" t="n">
        <v>300</v>
      </c>
      <c r="F53" s="143">
        <f>E53-D53</f>
        <v/>
      </c>
      <c r="G53" s="144">
        <f>IFERROR(F53/E53,0)</f>
        <v/>
      </c>
      <c r="H53" s="145" t="n">
        <v>0.1</v>
      </c>
      <c r="I53" s="146">
        <f>F53*H53</f>
        <v/>
      </c>
      <c r="J53" s="77" t="n"/>
      <c r="K53" s="77" t="n"/>
      <c r="L53" s="77" t="n"/>
      <c r="M53" s="77" t="n"/>
      <c r="N53" s="77" t="n"/>
    </row>
    <row r="54" ht="19.5" customHeight="1" s="360">
      <c r="A54" s="77" t="n"/>
      <c r="B54" s="147" t="inlineStr">
        <is>
          <t>ABS / PS</t>
        </is>
      </c>
      <c r="C54" s="148" t="inlineStr">
        <is>
          <t>Esporádico</t>
        </is>
      </c>
      <c r="D54" s="109" t="n">
        <v>200</v>
      </c>
      <c r="E54" s="109" t="n">
        <v>380</v>
      </c>
      <c r="F54" s="123">
        <f>E54-D54</f>
        <v/>
      </c>
      <c r="G54" s="149">
        <f>IFERROR(F54/E54,0)</f>
        <v/>
      </c>
      <c r="H54" s="150" t="n">
        <v>0.03</v>
      </c>
      <c r="I54" s="151">
        <f>F54*H54</f>
        <v/>
      </c>
      <c r="J54" s="77" t="n"/>
      <c r="K54" s="77" t="n"/>
      <c r="L54" s="77" t="n"/>
      <c r="M54" s="77" t="n"/>
      <c r="N54" s="77" t="n"/>
    </row>
    <row r="55" ht="19.5" customHeight="1" s="360">
      <c r="A55" s="77" t="n"/>
      <c r="B55" s="141" t="inlineStr">
        <is>
          <t>Nylon / PA</t>
        </is>
      </c>
      <c r="C55" s="142" t="inlineStr">
        <is>
          <t>Esporádico</t>
        </is>
      </c>
      <c r="D55" s="119" t="n">
        <v>280</v>
      </c>
      <c r="E55" s="119" t="n">
        <v>520</v>
      </c>
      <c r="F55" s="143">
        <f>E55-D55</f>
        <v/>
      </c>
      <c r="G55" s="144">
        <f>IFERROR(F55/E55,0)</f>
        <v/>
      </c>
      <c r="H55" s="145" t="n">
        <v>0.02</v>
      </c>
      <c r="I55" s="146">
        <f>F55*H55</f>
        <v/>
      </c>
      <c r="J55" s="77" t="n"/>
      <c r="K55" s="77" t="n"/>
      <c r="L55" s="77" t="n"/>
      <c r="M55" s="77" t="n"/>
      <c r="N55" s="77" t="n"/>
    </row>
    <row r="56" ht="21.75" customHeight="1" s="360">
      <c r="A56" s="77" t="n"/>
      <c r="B56" s="152" t="inlineStr">
        <is>
          <t>Promedio ponderado</t>
        </is>
      </c>
      <c r="C56" s="77" t="n"/>
      <c r="D56" s="125">
        <f>SUMPRODUCT(D49:D55,H49:H55)/SUM(H49:H55)</f>
        <v/>
      </c>
      <c r="E56" s="125">
        <f>SUMPRODUCT(E49:E55,H49:H55)/SUM(H49:H55)</f>
        <v/>
      </c>
      <c r="F56" s="125">
        <f>E56-D56</f>
        <v/>
      </c>
      <c r="G56" s="153">
        <f>IFERROR(F56/E56,0)</f>
        <v/>
      </c>
      <c r="H56" s="154">
        <f>SUM(H49:H55)</f>
        <v/>
      </c>
      <c r="I56" s="155">
        <f>SUM(I49:I55)</f>
        <v/>
      </c>
      <c r="J56" s="77" t="n"/>
      <c r="K56" s="77" t="n"/>
      <c r="L56" s="77" t="n"/>
      <c r="M56" s="77" t="n"/>
      <c r="N56" s="77" t="n"/>
    </row>
    <row r="57" ht="15.75" customHeight="1" s="360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</row>
    <row r="58" ht="21.75" customHeight="1" s="360">
      <c r="A58" s="77" t="n"/>
      <c r="B58" s="386" t="inlineStr">
        <is>
          <t>F. ESCENARIO DE ESTRÉS — ¿Cuánto aguanta la caja si Alex entrega menos?</t>
        </is>
      </c>
    </row>
    <row r="59" ht="45" customHeight="1" s="360">
      <c r="A59" s="77" t="n"/>
      <c r="B59" s="103" t="inlineStr">
        <is>
          <t>Escenario</t>
        </is>
      </c>
      <c r="C59" s="103" t="inlineStr">
        <is>
          <t>Vol M1-3
(t/mes)</t>
        </is>
      </c>
      <c r="D59" s="103" t="inlineStr">
        <is>
          <t>Vol M4+
(t/mes)</t>
        </is>
      </c>
      <c r="E59" s="103" t="inlineStr">
        <is>
          <t>EBITDA M1-3
($/mes)</t>
        </is>
      </c>
      <c r="F59" s="103" t="inlineStr">
        <is>
          <t>EBITDA M4-12
($/mes)</t>
        </is>
      </c>
      <c r="G59" s="103" t="inlineStr">
        <is>
          <t>Caja tras M3
($)</t>
        </is>
      </c>
      <c r="H59" s="103" t="inlineStr">
        <is>
          <t>Runway
(meses)</t>
        </is>
      </c>
      <c r="I59" s="103" t="inlineStr">
        <is>
          <t>Veredicto</t>
        </is>
      </c>
      <c r="J59" s="77" t="n"/>
      <c r="K59" s="77" t="n"/>
      <c r="L59" s="77" t="n"/>
      <c r="M59" s="77" t="n"/>
      <c r="N59" s="77" t="n"/>
    </row>
    <row r="60" ht="21.75" customHeight="1" s="360">
      <c r="A60" s="77" t="n"/>
      <c r="B60" s="157" t="inlineStr">
        <is>
          <t>Base (conservador)</t>
        </is>
      </c>
      <c r="C60" s="158" t="n">
        <v>40</v>
      </c>
      <c r="D60" s="158" t="n">
        <v>80</v>
      </c>
      <c r="E60" s="143">
        <f>C60*(C8-C7-C9)-C25</f>
        <v/>
      </c>
      <c r="F60" s="143">
        <f>D60*(C8-C7-C9)-C25</f>
        <v/>
      </c>
      <c r="G60" s="159">
        <f>-'1. Project Profile'!F33+3*E60</f>
        <v/>
      </c>
      <c r="H60" s="142">
        <f>IFERROR(IF(E60&gt;=0,"Indefinido",TEXT(ROUND('1. Project Profile'!F33/(-E60),1),"0.0")&amp;" m"),"-")</f>
        <v/>
      </c>
      <c r="I60" s="160" t="inlineStr">
        <is>
          <t>✅ Viable</t>
        </is>
      </c>
      <c r="J60" s="77" t="n"/>
      <c r="K60" s="77" t="n"/>
      <c r="L60" s="77" t="n"/>
      <c r="M60" s="77" t="n"/>
      <c r="N60" s="77" t="n"/>
    </row>
    <row r="61" ht="21.75" customHeight="1" s="360">
      <c r="A61" s="77" t="n"/>
      <c r="B61" s="110" t="inlineStr">
        <is>
          <t>Estrés leve</t>
        </is>
      </c>
      <c r="C61" s="161" t="n">
        <v>30</v>
      </c>
      <c r="D61" s="161" t="n">
        <v>60</v>
      </c>
      <c r="E61" s="123">
        <f>C61*(C8-C7-C9)-C25</f>
        <v/>
      </c>
      <c r="F61" s="123">
        <f>D61*(C8-C7-C9)-C25</f>
        <v/>
      </c>
      <c r="G61" s="162">
        <f>-'1. Project Profile'!F33+3*E61</f>
        <v/>
      </c>
      <c r="H61" s="148">
        <f>IFERROR(IF(E61&gt;=0,"Indefinido",TEXT(ROUND('1. Project Profile'!F33/(-E61),1),"0.0")&amp;" m"),"-")</f>
        <v/>
      </c>
      <c r="I61" s="163" t="inlineStr">
        <is>
          <t>⚠ Riesgo</t>
        </is>
      </c>
      <c r="J61" s="77" t="n"/>
      <c r="K61" s="77" t="n"/>
      <c r="L61" s="77" t="n"/>
      <c r="M61" s="77" t="n"/>
      <c r="N61" s="77" t="n"/>
    </row>
    <row r="62" ht="21.75" customHeight="1" s="360">
      <c r="A62" s="77" t="n"/>
      <c r="B62" s="120" t="inlineStr">
        <is>
          <t>Estrés severo</t>
        </is>
      </c>
      <c r="C62" s="158" t="n">
        <v>20</v>
      </c>
      <c r="D62" s="158" t="n">
        <v>50</v>
      </c>
      <c r="E62" s="143">
        <f>C62*(C8-C7-C9)-C25</f>
        <v/>
      </c>
      <c r="F62" s="143">
        <f>D62*(C8-C7-C9)-C25</f>
        <v/>
      </c>
      <c r="G62" s="159">
        <f>-'1. Project Profile'!F33+3*E62</f>
        <v/>
      </c>
      <c r="H62" s="142">
        <f>IFERROR(IF(E62&gt;=0,"Indefinido",TEXT(ROUND('1. Project Profile'!F33/(-E62),1),"0.0")&amp;" m"),"-")</f>
        <v/>
      </c>
      <c r="I62" s="160" t="inlineStr">
        <is>
          <t>🔴 Crítico</t>
        </is>
      </c>
      <c r="J62" s="77" t="n"/>
      <c r="K62" s="77" t="n"/>
      <c r="L62" s="77" t="n"/>
      <c r="M62" s="77" t="n"/>
      <c r="N62" s="77" t="n"/>
    </row>
    <row r="63" ht="21.75" customHeight="1" s="360">
      <c r="A63" s="77" t="n"/>
      <c r="B63" s="110" t="inlineStr">
        <is>
          <t>Optimista</t>
        </is>
      </c>
      <c r="C63" s="161" t="n">
        <v>60</v>
      </c>
      <c r="D63" s="161" t="n">
        <v>100</v>
      </c>
      <c r="E63" s="123">
        <f>C63*(C8-C7-C9)-C25</f>
        <v/>
      </c>
      <c r="F63" s="123">
        <f>D63*(C8-C7-C9)-C25</f>
        <v/>
      </c>
      <c r="G63" s="162">
        <f>-'1. Project Profile'!F33+3*E63</f>
        <v/>
      </c>
      <c r="H63" s="148">
        <f>IFERROR(IF(E63&gt;=0,"Indefinido",TEXT(ROUND('1. Project Profile'!F33/(-E63),1),"0.0")&amp;" m"),"-")</f>
        <v/>
      </c>
      <c r="I63" s="163" t="inlineStr">
        <is>
          <t>✅✅ Sólido</t>
        </is>
      </c>
      <c r="J63" s="77" t="n"/>
      <c r="K63" s="77" t="n"/>
      <c r="L63" s="77" t="n"/>
      <c r="M63" s="77" t="n"/>
      <c r="N63" s="77" t="n"/>
    </row>
    <row r="64" ht="34.5" customHeight="1" s="360">
      <c r="A64" s="77" t="n"/>
      <c r="B64" s="387" t="inlineStr">
        <is>
          <t>⚠ Señal de alerta: si en M2 volumen real &lt; 45 t/mes → reunión urgente. Palanca más efectiva bajo estrés: reducir OPEX (renta) antes de buscar más volumen.</t>
        </is>
      </c>
      <c r="J64" s="77" t="n"/>
      <c r="K64" s="77" t="n"/>
      <c r="L64" s="77" t="n"/>
      <c r="M64" s="77" t="n"/>
      <c r="N64" s="77" t="n"/>
    </row>
    <row r="65" ht="15.75" customHeight="1" s="360">
      <c r="A65" s="77" t="n"/>
      <c r="B65" s="77" t="n"/>
      <c r="C65" s="77" t="n"/>
      <c r="D65" s="77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</row>
    <row r="66" ht="15.75" customHeight="1" s="360">
      <c r="A66" s="77" t="n"/>
      <c r="B66" s="77" t="n"/>
      <c r="C66" s="77" t="n"/>
      <c r="D66" s="77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</row>
    <row r="67" ht="15.75" customHeight="1" s="360">
      <c r="A67" s="77" t="n"/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</row>
    <row r="68" ht="15.75" customHeight="1" s="360">
      <c r="A68" s="77" t="n"/>
      <c r="B68" s="77" t="n"/>
      <c r="C68" s="77" t="n"/>
      <c r="D68" s="77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</row>
    <row r="69" ht="15.75" customHeight="1" s="360">
      <c r="A69" s="77" t="n"/>
      <c r="B69" s="77" t="n"/>
      <c r="C69" s="77" t="n"/>
      <c r="D69" s="77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</row>
    <row r="70" ht="15.75" customHeight="1" s="360">
      <c r="A70" s="77" t="n"/>
      <c r="B70" s="77" t="n"/>
      <c r="C70" s="77" t="n"/>
      <c r="D70" s="77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</row>
    <row r="71" ht="15.75" customHeight="1" s="360">
      <c r="A71" s="77" t="n"/>
      <c r="B71" s="77" t="n"/>
      <c r="C71" s="77" t="n"/>
      <c r="D71" s="77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</row>
    <row r="72" ht="15.75" customHeight="1" s="360">
      <c r="A72" s="77" t="n"/>
      <c r="B72" s="77" t="n"/>
      <c r="C72" s="77" t="n"/>
      <c r="D72" s="77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</row>
    <row r="73" ht="15.75" customHeight="1" s="360">
      <c r="A73" s="77" t="n"/>
      <c r="B73" s="77" t="n"/>
      <c r="C73" s="77" t="n"/>
      <c r="D73" s="77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</row>
    <row r="74" ht="15.75" customHeight="1" s="360">
      <c r="A74" s="77" t="n"/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</row>
    <row r="75" ht="15.75" customHeight="1" s="360">
      <c r="A75" s="77" t="n"/>
      <c r="B75" s="77" t="n"/>
      <c r="C75" s="77" t="n"/>
      <c r="D75" s="77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</row>
    <row r="76" ht="15.75" customHeight="1" s="360">
      <c r="A76" s="77" t="n"/>
      <c r="B76" s="77" t="n"/>
      <c r="C76" s="77" t="n"/>
      <c r="D76" s="77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</row>
    <row r="77" ht="15.75" customHeight="1" s="360">
      <c r="A77" s="77" t="n"/>
      <c r="B77" s="77" t="n"/>
      <c r="C77" s="77" t="n"/>
      <c r="D77" s="77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</row>
    <row r="78" ht="15.75" customHeight="1" s="360">
      <c r="A78" s="77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</row>
    <row r="79" ht="15.75" customHeight="1" s="360">
      <c r="A79" s="77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</row>
    <row r="80" ht="15.75" customHeight="1" s="360">
      <c r="A80" s="77" t="n"/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</row>
    <row r="88" ht="15.75" customHeight="1" s="360">
      <c r="A88" s="77" t="n"/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</row>
    <row r="89" ht="15.75" customHeight="1" s="360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</row>
    <row r="90" ht="15.75" customHeight="1" s="360">
      <c r="A90" s="77" t="n"/>
      <c r="B90" s="77" t="n"/>
      <c r="C90" s="77" t="n"/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</row>
    <row r="91" ht="15.75" customHeight="1" s="360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</row>
    <row r="92" ht="15.75" customHeight="1" s="360">
      <c r="A92" s="77" t="n"/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</row>
    <row r="93" ht="15.75" customHeight="1" s="360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</row>
    <row r="94" ht="15.75" customHeight="1" s="360">
      <c r="A94" s="77" t="n"/>
      <c r="B94" s="77" t="n"/>
      <c r="C94" s="77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</row>
    <row r="95" ht="15.75" customHeight="1" s="360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</row>
    <row r="96" ht="15.75" customHeight="1" s="360">
      <c r="A96" s="77" t="n"/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</row>
    <row r="97" ht="15.75" customHeight="1" s="360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</row>
    <row r="98" ht="15.75" customHeight="1" s="360">
      <c r="A98" s="77" t="n"/>
      <c r="B98" s="77" t="n"/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</row>
    <row r="99" ht="15.75" customHeight="1" s="360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</row>
    <row r="1001" ht="15.75" customHeight="1" s="360">
      <c r="A1001" s="77" t="n"/>
      <c r="B1001" s="77" t="n"/>
      <c r="C1001" s="77" t="n"/>
      <c r="D1001" s="77" t="n"/>
      <c r="E1001" s="77" t="n"/>
      <c r="F1001" s="77" t="n"/>
      <c r="G1001" s="77" t="n"/>
      <c r="H1001" s="77" t="n"/>
      <c r="I1001" s="77" t="n"/>
      <c r="J1001" s="77" t="n"/>
      <c r="K1001" s="77" t="n"/>
      <c r="L1001" s="77" t="n"/>
      <c r="M1001" s="77" t="n"/>
      <c r="N1001" s="77" t="n"/>
    </row>
  </sheetData>
  <mergeCells count="38">
    <mergeCell ref="K42:N42"/>
    <mergeCell ref="B42:G42"/>
    <mergeCell ref="D20:N20"/>
    <mergeCell ref="B40:N40"/>
    <mergeCell ref="D19:N19"/>
    <mergeCell ref="B44:G44"/>
    <mergeCell ref="D22:N22"/>
    <mergeCell ref="H45:J45"/>
    <mergeCell ref="D21:N21"/>
    <mergeCell ref="B4:N4"/>
    <mergeCell ref="D13:N13"/>
    <mergeCell ref="B47:N47"/>
    <mergeCell ref="D17:N17"/>
    <mergeCell ref="K45:N45"/>
    <mergeCell ref="H42:J42"/>
    <mergeCell ref="D16:N16"/>
    <mergeCell ref="B27:N27"/>
    <mergeCell ref="B45:G45"/>
    <mergeCell ref="B41:G41"/>
    <mergeCell ref="B12:N12"/>
    <mergeCell ref="B58:N58"/>
    <mergeCell ref="B2:N2"/>
    <mergeCell ref="D18:N18"/>
    <mergeCell ref="K41:N41"/>
    <mergeCell ref="H43:J43"/>
    <mergeCell ref="K44:N44"/>
    <mergeCell ref="D25:N25"/>
    <mergeCell ref="B64:I64"/>
    <mergeCell ref="B1:N1"/>
    <mergeCell ref="H44:J44"/>
    <mergeCell ref="H41:J41"/>
    <mergeCell ref="D15:N15"/>
    <mergeCell ref="K43:N43"/>
    <mergeCell ref="D24:N24"/>
    <mergeCell ref="B43:G43"/>
    <mergeCell ref="D38:N38"/>
    <mergeCell ref="D14:N14"/>
    <mergeCell ref="D23:N23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" customWidth="1" style="360" min="1" max="1"/>
    <col width="28" customWidth="1" style="360" min="2" max="2"/>
    <col width="13" customWidth="1" style="360" min="3" max="14"/>
    <col width="8.630000000000001" customWidth="1" style="360" min="15" max="26"/>
  </cols>
  <sheetData>
    <row r="1" ht="27.75" customHeight="1" s="360">
      <c r="A1" s="77" t="n"/>
      <c r="B1" s="381" t="inlineStr">
        <is>
          <t>PlasHub — Flujo de Caja Mensual (Cash Flow) | 12 Meses</t>
        </is>
      </c>
    </row>
    <row r="2" ht="30" customHeight="1" s="360">
      <c r="A2" s="77" t="n"/>
      <c r="B2" s="165" t="inlineStr">
        <is>
          <t>El P&amp;L muestra rentabilidad devengada. El Cash Flow muestra cuándo entra y sale dinero. El ciclo de caja (30-45 días) consume caja aunque el P&amp;L sea positivo.  [CORREGIDO v3: fila 14 'Pagos a proveedores' ahora usa el precio/flete del mes correspondiente; antes referenciaba la columna M1 para todos los meses, lo que inflaba el pago a -$21,200/mes y mostraba insolvencia falsa.]</t>
        </is>
      </c>
    </row>
    <row r="3">
      <c r="A3" s="77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</row>
    <row r="4" ht="21.75" customHeight="1" s="360">
      <c r="A4" s="77" t="n"/>
      <c r="B4" s="382" t="inlineStr">
        <is>
          <t>A. INPUTS (links automáticos desde hoja Supuestos &amp; PL)</t>
        </is>
      </c>
    </row>
    <row r="5" ht="24.75" customHeight="1" s="360">
      <c r="A5" s="77" t="n"/>
      <c r="B5" s="103" t="inlineStr">
        <is>
          <t>Supuesto</t>
        </is>
      </c>
      <c r="C5" s="103" t="inlineStr">
        <is>
          <t>M1</t>
        </is>
      </c>
      <c r="D5" s="103" t="inlineStr">
        <is>
          <t>M2</t>
        </is>
      </c>
      <c r="E5" s="103" t="inlineStr">
        <is>
          <t>M3</t>
        </is>
      </c>
      <c r="F5" s="103" t="inlineStr">
        <is>
          <t>M4</t>
        </is>
      </c>
      <c r="G5" s="103" t="inlineStr">
        <is>
          <t>M5</t>
        </is>
      </c>
      <c r="H5" s="103" t="inlineStr">
        <is>
          <t>M6</t>
        </is>
      </c>
      <c r="I5" s="103" t="inlineStr">
        <is>
          <t>M7</t>
        </is>
      </c>
      <c r="J5" s="103" t="inlineStr">
        <is>
          <t>M8</t>
        </is>
      </c>
      <c r="K5" s="103" t="inlineStr">
        <is>
          <t>M9</t>
        </is>
      </c>
      <c r="L5" s="103" t="inlineStr">
        <is>
          <t>M10</t>
        </is>
      </c>
      <c r="M5" s="103" t="inlineStr">
        <is>
          <t>M11</t>
        </is>
      </c>
      <c r="N5" s="103" t="inlineStr">
        <is>
          <t>M12</t>
        </is>
      </c>
    </row>
    <row r="6" ht="19.5" customHeight="1" s="360">
      <c r="A6" s="77" t="n"/>
      <c r="B6" s="166" t="inlineStr">
        <is>
          <t>Volumen (t/mes)</t>
        </is>
      </c>
      <c r="C6" s="167">
        <f>'2. Supuestos &amp; PL'!C6</f>
        <v/>
      </c>
      <c r="D6" s="167">
        <f>'2. Supuestos &amp; PL'!D6</f>
        <v/>
      </c>
      <c r="E6" s="167">
        <f>'2. Supuestos &amp; PL'!E6</f>
        <v/>
      </c>
      <c r="F6" s="167">
        <f>'2. Supuestos &amp; PL'!F6</f>
        <v/>
      </c>
      <c r="G6" s="167">
        <f>'2. Supuestos &amp; PL'!G6</f>
        <v/>
      </c>
      <c r="H6" s="167">
        <f>'2. Supuestos &amp; PL'!H6</f>
        <v/>
      </c>
      <c r="I6" s="167">
        <f>'2. Supuestos &amp; PL'!I6</f>
        <v/>
      </c>
      <c r="J6" s="167">
        <f>'2. Supuestos &amp; PL'!J6</f>
        <v/>
      </c>
      <c r="K6" s="167">
        <f>'2. Supuestos &amp; PL'!K6</f>
        <v/>
      </c>
      <c r="L6" s="167">
        <f>'2. Supuestos &amp; PL'!L6</f>
        <v/>
      </c>
      <c r="M6" s="167">
        <f>'2. Supuestos &amp; PL'!M6</f>
        <v/>
      </c>
      <c r="N6" s="167">
        <f>'2. Supuestos &amp; PL'!N6</f>
        <v/>
      </c>
    </row>
    <row r="7" ht="19.5" customHeight="1" s="360">
      <c r="A7" s="77" t="n"/>
      <c r="B7" s="168" t="inlineStr">
        <is>
          <t>Ingreso devengado ($)</t>
        </is>
      </c>
      <c r="C7" s="169">
        <f>'2. Supuestos &amp; PL'!C29</f>
        <v/>
      </c>
      <c r="D7" s="169">
        <f>'2. Supuestos &amp; PL'!D29</f>
        <v/>
      </c>
      <c r="E7" s="169">
        <f>'2. Supuestos &amp; PL'!E29</f>
        <v/>
      </c>
      <c r="F7" s="169">
        <f>'2. Supuestos &amp; PL'!F29</f>
        <v/>
      </c>
      <c r="G7" s="169">
        <f>'2. Supuestos &amp; PL'!G29</f>
        <v/>
      </c>
      <c r="H7" s="169">
        <f>'2. Supuestos &amp; PL'!H29</f>
        <v/>
      </c>
      <c r="I7" s="169">
        <f>'2. Supuestos &amp; PL'!I29</f>
        <v/>
      </c>
      <c r="J7" s="169">
        <f>'2. Supuestos &amp; PL'!J29</f>
        <v/>
      </c>
      <c r="K7" s="169">
        <f>'2. Supuestos &amp; PL'!K29</f>
        <v/>
      </c>
      <c r="L7" s="169">
        <f>'2. Supuestos &amp; PL'!L29</f>
        <v/>
      </c>
      <c r="M7" s="169">
        <f>'2. Supuestos &amp; PL'!M29</f>
        <v/>
      </c>
      <c r="N7" s="169">
        <f>'2. Supuestos &amp; PL'!N29</f>
        <v/>
      </c>
    </row>
    <row r="8" ht="19.5" customHeight="1" s="360">
      <c r="A8" s="77" t="n"/>
      <c r="B8" s="166" t="inlineStr">
        <is>
          <t>EBITDA devengado ($)</t>
        </is>
      </c>
      <c r="C8" s="169">
        <f>'2. Supuestos &amp; PL'!C35</f>
        <v/>
      </c>
      <c r="D8" s="169">
        <f>'2. Supuestos &amp; PL'!D35</f>
        <v/>
      </c>
      <c r="E8" s="169">
        <f>'2. Supuestos &amp; PL'!E35</f>
        <v/>
      </c>
      <c r="F8" s="169">
        <f>'2. Supuestos &amp; PL'!F35</f>
        <v/>
      </c>
      <c r="G8" s="169">
        <f>'2. Supuestos &amp; PL'!G35</f>
        <v/>
      </c>
      <c r="H8" s="169">
        <f>'2. Supuestos &amp; PL'!H35</f>
        <v/>
      </c>
      <c r="I8" s="169">
        <f>'2. Supuestos &amp; PL'!I35</f>
        <v/>
      </c>
      <c r="J8" s="169">
        <f>'2. Supuestos &amp; PL'!J35</f>
        <v/>
      </c>
      <c r="K8" s="169">
        <f>'2. Supuestos &amp; PL'!K35</f>
        <v/>
      </c>
      <c r="L8" s="169">
        <f>'2. Supuestos &amp; PL'!L35</f>
        <v/>
      </c>
      <c r="M8" s="169">
        <f>'2. Supuestos &amp; PL'!M35</f>
        <v/>
      </c>
      <c r="N8" s="169">
        <f>'2. Supuestos &amp; PL'!N35</f>
        <v/>
      </c>
    </row>
    <row r="9" ht="19.5" customHeight="1" s="360">
      <c r="A9" s="77" t="n"/>
      <c r="B9" s="168" t="inlineStr">
        <is>
          <t>Días ciclo de caja</t>
        </is>
      </c>
      <c r="C9" s="170">
        <f>'2. Supuestos &amp; PL'!C10</f>
        <v/>
      </c>
      <c r="D9" s="170">
        <f>'2. Supuestos &amp; PL'!D10</f>
        <v/>
      </c>
      <c r="E9" s="170">
        <f>'2. Supuestos &amp; PL'!E10</f>
        <v/>
      </c>
      <c r="F9" s="170">
        <f>'2. Supuestos &amp; PL'!F10</f>
        <v/>
      </c>
      <c r="G9" s="170">
        <f>'2. Supuestos &amp; PL'!G10</f>
        <v/>
      </c>
      <c r="H9" s="170">
        <f>'2. Supuestos &amp; PL'!H10</f>
        <v/>
      </c>
      <c r="I9" s="170">
        <f>'2. Supuestos &amp; PL'!I10</f>
        <v/>
      </c>
      <c r="J9" s="170">
        <f>'2. Supuestos &amp; PL'!J10</f>
        <v/>
      </c>
      <c r="K9" s="170">
        <f>'2. Supuestos &amp; PL'!K10</f>
        <v/>
      </c>
      <c r="L9" s="170">
        <f>'2. Supuestos &amp; PL'!L10</f>
        <v/>
      </c>
      <c r="M9" s="170">
        <f>'2. Supuestos &amp; PL'!M10</f>
        <v/>
      </c>
      <c r="N9" s="170">
        <f>'2. Supuestos &amp; PL'!N10</f>
        <v/>
      </c>
    </row>
    <row r="10">
      <c r="A10" s="77" t="n"/>
      <c r="B10" s="77" t="n"/>
      <c r="C10" s="77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</row>
    <row r="11" ht="21.75" customHeight="1" s="360">
      <c r="A11" s="77" t="n"/>
      <c r="B11" s="382" t="inlineStr">
        <is>
          <t>B. FLUJO DE CAJA MENSUAL — Incluye desfase ciclo de caja</t>
        </is>
      </c>
    </row>
    <row r="12" ht="24.75" customHeight="1" s="360">
      <c r="A12" s="77" t="n"/>
      <c r="B12" s="103" t="inlineStr">
        <is>
          <t>Concepto CF</t>
        </is>
      </c>
      <c r="C12" s="103" t="inlineStr">
        <is>
          <t>M1</t>
        </is>
      </c>
      <c r="D12" s="103" t="inlineStr">
        <is>
          <t>M2</t>
        </is>
      </c>
      <c r="E12" s="103" t="inlineStr">
        <is>
          <t>M3</t>
        </is>
      </c>
      <c r="F12" s="103" t="inlineStr">
        <is>
          <t>M4</t>
        </is>
      </c>
      <c r="G12" s="103" t="inlineStr">
        <is>
          <t>M5</t>
        </is>
      </c>
      <c r="H12" s="103" t="inlineStr">
        <is>
          <t>M6</t>
        </is>
      </c>
      <c r="I12" s="103" t="inlineStr">
        <is>
          <t>M7</t>
        </is>
      </c>
      <c r="J12" s="103" t="inlineStr">
        <is>
          <t>M8</t>
        </is>
      </c>
      <c r="K12" s="103" t="inlineStr">
        <is>
          <t>M9</t>
        </is>
      </c>
      <c r="L12" s="103" t="inlineStr">
        <is>
          <t>M10</t>
        </is>
      </c>
      <c r="M12" s="103" t="inlineStr">
        <is>
          <t>M11</t>
        </is>
      </c>
      <c r="N12" s="103" t="inlineStr">
        <is>
          <t>M12</t>
        </is>
      </c>
    </row>
    <row r="13" ht="30" customHeight="1" s="360">
      <c r="A13" s="77" t="n"/>
      <c r="B13" s="110" t="inlineStr">
        <is>
          <t>Cobros efectivos (con desfase)</t>
        </is>
      </c>
      <c r="C13" s="123">
        <f>IF(C9&lt;=30,C7,0)</f>
        <v/>
      </c>
      <c r="D13" s="123">
        <f>IF(D9&lt;=30,D7,C7)</f>
        <v/>
      </c>
      <c r="E13" s="123">
        <f>IF(E9&lt;=30,E7,D7)</f>
        <v/>
      </c>
      <c r="F13" s="123">
        <f>IF(F9&lt;=30,F7,E7)</f>
        <v/>
      </c>
      <c r="G13" s="123">
        <f>IF(G9&lt;=30,G7,F7)</f>
        <v/>
      </c>
      <c r="H13" s="123">
        <f>IF(H9&lt;=30,H7,G7)</f>
        <v/>
      </c>
      <c r="I13" s="123">
        <f>IF(I9&lt;=30,I7,H7)</f>
        <v/>
      </c>
      <c r="J13" s="123">
        <f>IF(J9&lt;=30,J7,I7)</f>
        <v/>
      </c>
      <c r="K13" s="123">
        <f>IF(K9&lt;=30,K7,J7)</f>
        <v/>
      </c>
      <c r="L13" s="123">
        <f>IF(L9&lt;=30,L7,K7)</f>
        <v/>
      </c>
      <c r="M13" s="123">
        <f>IF(M9&lt;=30,M7,L7)</f>
        <v/>
      </c>
      <c r="N13" s="123">
        <f>IF(N9&lt;=30,N7,M7)</f>
        <v/>
      </c>
    </row>
    <row r="14" ht="30" customHeight="1" s="360">
      <c r="A14" s="77" t="n"/>
      <c r="B14" s="120" t="inlineStr">
        <is>
          <t>Pagos a proveedores (COGS+flete)</t>
        </is>
      </c>
      <c r="C14" s="143">
        <f>-C6*('2. Supuestos &amp; PL'!C7+'2. Supuestos &amp; PL'!C9)</f>
        <v/>
      </c>
      <c r="D14" s="143">
        <f>-D6*('2. Supuestos &amp; PL'!D7+'2. Supuestos &amp; PL'!D9)</f>
        <v/>
      </c>
      <c r="E14" s="143">
        <f>-E6*('2. Supuestos &amp; PL'!E7+'2. Supuestos &amp; PL'!E9)</f>
        <v/>
      </c>
      <c r="F14" s="143">
        <f>-F6*('2. Supuestos &amp; PL'!F7+'2. Supuestos &amp; PL'!F9)</f>
        <v/>
      </c>
      <c r="G14" s="143">
        <f>-G6*('2. Supuestos &amp; PL'!G7+'2. Supuestos &amp; PL'!G9)</f>
        <v/>
      </c>
      <c r="H14" s="143">
        <f>-H6*('2. Supuestos &amp; PL'!H7+'2. Supuestos &amp; PL'!H9)</f>
        <v/>
      </c>
      <c r="I14" s="143">
        <f>-I6*('2. Supuestos &amp; PL'!I7+'2. Supuestos &amp; PL'!I9)</f>
        <v/>
      </c>
      <c r="J14" s="143">
        <f>-J6*('2. Supuestos &amp; PL'!J7+'2. Supuestos &amp; PL'!J9)</f>
        <v/>
      </c>
      <c r="K14" s="143">
        <f>-K6*('2. Supuestos &amp; PL'!K7+'2. Supuestos &amp; PL'!K9)</f>
        <v/>
      </c>
      <c r="L14" s="143">
        <f>-L6*('2. Supuestos &amp; PL'!L7+'2. Supuestos &amp; PL'!L9)</f>
        <v/>
      </c>
      <c r="M14" s="143">
        <f>-M6*('2. Supuestos &amp; PL'!M7+'2. Supuestos &amp; PL'!M9)</f>
        <v/>
      </c>
      <c r="N14" s="143">
        <f>-N6*('2. Supuestos &amp; PL'!N7+'2. Supuestos &amp; PL'!N9)</f>
        <v/>
      </c>
    </row>
    <row r="15" ht="19.5" customHeight="1" s="360">
      <c r="A15" s="77" t="n"/>
      <c r="B15" s="110" t="inlineStr">
        <is>
          <t>Pagos OPEX fijo (mes corriente)</t>
        </is>
      </c>
      <c r="C15" s="123">
        <f>-'2. Supuestos &amp; PL'!C25</f>
        <v/>
      </c>
      <c r="D15" s="123">
        <f>-'2. Supuestos &amp; PL'!C25</f>
        <v/>
      </c>
      <c r="E15" s="123">
        <f>-'2. Supuestos &amp; PL'!C25</f>
        <v/>
      </c>
      <c r="F15" s="123">
        <f>-'2. Supuestos &amp; PL'!C25</f>
        <v/>
      </c>
      <c r="G15" s="123">
        <f>-'2. Supuestos &amp; PL'!C25</f>
        <v/>
      </c>
      <c r="H15" s="123">
        <f>-'2. Supuestos &amp; PL'!C25</f>
        <v/>
      </c>
      <c r="I15" s="123">
        <f>-'2. Supuestos &amp; PL'!C25</f>
        <v/>
      </c>
      <c r="J15" s="123">
        <f>-'2. Supuestos &amp; PL'!C25</f>
        <v/>
      </c>
      <c r="K15" s="123">
        <f>-'2. Supuestos &amp; PL'!C25</f>
        <v/>
      </c>
      <c r="L15" s="123">
        <f>-'2. Supuestos &amp; PL'!C25</f>
        <v/>
      </c>
      <c r="M15" s="123">
        <f>-'2. Supuestos &amp; PL'!C25</f>
        <v/>
      </c>
      <c r="N15" s="123">
        <f>-'2. Supuestos &amp; PL'!C25</f>
        <v/>
      </c>
    </row>
    <row r="16" ht="30" customHeight="1" s="360">
      <c r="A16" s="77" t="n"/>
      <c r="B16" s="122" t="inlineStr">
        <is>
          <t>Inversión inicial CAPEX (mes 0, mostrada en M1)</t>
        </is>
      </c>
      <c r="C16" s="171">
        <f>-'1. Project Profile'!F33</f>
        <v/>
      </c>
      <c r="D16" s="123" t="n">
        <v>0</v>
      </c>
      <c r="E16" s="123" t="n">
        <v>0</v>
      </c>
      <c r="F16" s="123" t="n">
        <v>0</v>
      </c>
      <c r="G16" s="123" t="n">
        <v>0</v>
      </c>
      <c r="H16" s="123" t="n">
        <v>0</v>
      </c>
      <c r="I16" s="123" t="n">
        <v>0</v>
      </c>
      <c r="J16" s="123" t="n">
        <v>0</v>
      </c>
      <c r="K16" s="123" t="n">
        <v>0</v>
      </c>
      <c r="L16" s="123" t="n">
        <v>0</v>
      </c>
      <c r="M16" s="123" t="n">
        <v>0</v>
      </c>
      <c r="N16" s="123" t="n">
        <v>0</v>
      </c>
    </row>
    <row r="17" ht="21.75" customHeight="1" s="360">
      <c r="A17" s="77" t="n"/>
      <c r="B17" s="124" t="inlineStr">
        <is>
          <t>Flujo neto del mes ($)</t>
        </is>
      </c>
      <c r="C17" s="125">
        <f>C13+C14+C15</f>
        <v/>
      </c>
      <c r="D17" s="125">
        <f>D13+D14+D15</f>
        <v/>
      </c>
      <c r="E17" s="125">
        <f>E13+E14+E15</f>
        <v/>
      </c>
      <c r="F17" s="125">
        <f>F13+F14+F15</f>
        <v/>
      </c>
      <c r="G17" s="125">
        <f>G13+G14+G15</f>
        <v/>
      </c>
      <c r="H17" s="125">
        <f>H13+H14+H15</f>
        <v/>
      </c>
      <c r="I17" s="125">
        <f>I13+I14+I15</f>
        <v/>
      </c>
      <c r="J17" s="125">
        <f>J13+J14+J15</f>
        <v/>
      </c>
      <c r="K17" s="125">
        <f>K13+K14+K15</f>
        <v/>
      </c>
      <c r="L17" s="125">
        <f>L13+L14+L15</f>
        <v/>
      </c>
      <c r="M17" s="125">
        <f>M13+M14+M15</f>
        <v/>
      </c>
      <c r="N17" s="125">
        <f>N13+N14+N15</f>
        <v/>
      </c>
    </row>
    <row r="18" ht="21.75" customHeight="1" s="360">
      <c r="A18" s="77" t="n"/>
      <c r="B18" s="130" t="inlineStr">
        <is>
          <t>Caja acumulada ($)</t>
        </is>
      </c>
      <c r="C18" s="131">
        <f>C16+C17</f>
        <v/>
      </c>
      <c r="D18" s="131">
        <f>C18+D17</f>
        <v/>
      </c>
      <c r="E18" s="131">
        <f>D18+E17</f>
        <v/>
      </c>
      <c r="F18" s="131">
        <f>E18+F17</f>
        <v/>
      </c>
      <c r="G18" s="131">
        <f>F18+G17</f>
        <v/>
      </c>
      <c r="H18" s="131">
        <f>G18+H17</f>
        <v/>
      </c>
      <c r="I18" s="131">
        <f>H18+I17</f>
        <v/>
      </c>
      <c r="J18" s="131">
        <f>I18+J17</f>
        <v/>
      </c>
      <c r="K18" s="131">
        <f>J18+K17</f>
        <v/>
      </c>
      <c r="L18" s="131">
        <f>K18+L17</f>
        <v/>
      </c>
      <c r="M18" s="131">
        <f>L18+M17</f>
        <v/>
      </c>
      <c r="N18" s="131">
        <f>M18+N17</f>
        <v/>
      </c>
    </row>
    <row r="19">
      <c r="A19" s="77" t="n"/>
      <c r="B19" s="77" t="n"/>
      <c r="C19" s="77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</row>
    <row r="20" ht="21.75" customHeight="1" s="360">
      <c r="A20" s="77" t="n"/>
      <c r="B20" s="382" t="inlineStr">
        <is>
          <t>C. KPIs DE LIQUIDEZ</t>
        </is>
      </c>
    </row>
    <row r="21" ht="21.75" customHeight="1" s="360">
      <c r="A21" s="77" t="n"/>
      <c r="B21" s="112" t="inlineStr">
        <is>
          <t>Métrica</t>
        </is>
      </c>
      <c r="H21" s="113" t="inlineStr">
        <is>
          <t>Valor</t>
        </is>
      </c>
      <c r="K21" s="112" t="inlineStr">
        <is>
          <t>Nota</t>
        </is>
      </c>
    </row>
    <row r="22" ht="45" customHeight="1" s="360">
      <c r="A22" s="77" t="n"/>
      <c r="B22" s="120" t="inlineStr">
        <is>
          <t>Caja mínima (punto crítico)</t>
        </is>
      </c>
      <c r="H22" s="388">
        <f>MIN(C18:N18)</f>
        <v/>
      </c>
      <c r="K22" s="175" t="inlineStr">
        <is>
          <t>Si más negativa que capital disponible ($22K): riesgo de insolvencia.</t>
        </is>
      </c>
    </row>
    <row r="23" ht="45" customHeight="1" s="360">
      <c r="A23" s="77" t="n"/>
      <c r="B23" s="110" t="inlineStr">
        <is>
          <t>Mes de caja mínima</t>
        </is>
      </c>
      <c r="H23" s="173">
        <f>IFERROR(MATCH(MIN(C18:N18),C18:N18,0),"—")</f>
        <v/>
      </c>
      <c r="K23" s="118" t="inlineStr">
        <is>
          <t>Mes más crítico para la liquidez. Preparar colchón adicional ese mes.</t>
        </is>
      </c>
    </row>
    <row r="24" ht="45" customHeight="1" s="360">
      <c r="A24" s="77" t="n"/>
      <c r="B24" s="120" t="inlineStr">
        <is>
          <t>Caja al final del año (M12)</t>
        </is>
      </c>
      <c r="H24" s="388">
        <f>N18</f>
        <v/>
      </c>
      <c r="K24" s="175" t="inlineStr">
        <is>
          <t>Positivo = empresa auto-sostenible al cierre del año 1.</t>
        </is>
      </c>
    </row>
    <row r="25" ht="45" customHeight="1" s="360">
      <c r="A25" s="77" t="n"/>
      <c r="B25" s="110" t="inlineStr">
        <is>
          <t>Primer mes con flujo neto &gt; 0</t>
        </is>
      </c>
      <c r="H25" s="173">
        <f>IFERROR(MATCH(TRUE(),C17:N17&gt;0,0),"&gt;12")</f>
        <v/>
      </c>
      <c r="K25" s="118" t="inlineStr">
        <is>
          <t>Primer mes en que genera más caja de la que consume.</t>
        </is>
      </c>
    </row>
    <row r="26" ht="15.75" customHeight="1" s="360">
      <c r="A26" s="77" t="n"/>
      <c r="B26" s="77" t="n"/>
      <c r="C26" s="77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</row>
    <row r="27" ht="15.75" customHeight="1" s="360">
      <c r="A27" s="77" t="n"/>
      <c r="B27" s="77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</row>
    <row r="28" ht="15.75" customHeight="1" s="360">
      <c r="A28" s="77" t="n"/>
      <c r="B28" s="77" t="n"/>
      <c r="C28" s="77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</row>
    <row r="29" ht="15.75" customHeight="1" s="360">
      <c r="A29" s="77" t="n"/>
      <c r="B29" s="77" t="n"/>
      <c r="C29" s="77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</row>
    <row r="30" ht="15.75" customHeight="1" s="360">
      <c r="A30" s="77" t="n"/>
      <c r="B30" s="77" t="n"/>
      <c r="C30" s="77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</row>
    <row r="31" ht="15.75" customHeight="1" s="360">
      <c r="A31" s="77" t="n"/>
      <c r="B31" s="77" t="n"/>
      <c r="C31" s="77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</row>
    <row r="32" ht="15.75" customHeight="1" s="360">
      <c r="A32" s="77" t="n"/>
      <c r="B32" s="77" t="n"/>
      <c r="C32" s="77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</row>
    <row r="33" ht="15.75" customHeight="1" s="360">
      <c r="A33" s="77" t="n"/>
      <c r="B33" s="77" t="n"/>
      <c r="C33" s="77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</row>
    <row r="34" ht="15.75" customHeight="1" s="360">
      <c r="A34" s="77" t="n"/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</row>
    <row r="35" ht="15.75" customHeight="1" s="360">
      <c r="A35" s="77" t="n"/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</row>
    <row r="36" ht="15.75" customHeight="1" s="360">
      <c r="A36" s="77" t="n"/>
      <c r="B36" s="77" t="n"/>
      <c r="C36" s="77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</row>
    <row r="37" ht="15.75" customHeight="1" s="360">
      <c r="A37" s="77" t="n"/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</row>
    <row r="38" ht="15.75" customHeight="1" s="360">
      <c r="A38" s="77" t="n"/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</row>
    <row r="39" ht="15.75" customHeight="1" s="360">
      <c r="A39" s="77" t="n"/>
      <c r="B39" s="77" t="n"/>
      <c r="C39" s="77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</row>
    <row r="40" ht="15.75" customHeight="1" s="360">
      <c r="A40" s="77" t="n"/>
      <c r="B40" s="77" t="n"/>
      <c r="C40" s="77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</row>
    <row r="41" ht="15.75" customHeight="1" s="360">
      <c r="A41" s="77" t="n"/>
      <c r="B41" s="77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</row>
    <row r="42" ht="15.75" customHeight="1" s="360">
      <c r="A42" s="77" t="n"/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</row>
    <row r="43" ht="15.75" customHeight="1" s="360">
      <c r="A43" s="77" t="n"/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</row>
    <row r="44" ht="15.75" customHeight="1" s="360">
      <c r="A44" s="77" t="n"/>
      <c r="B44" s="77" t="n"/>
      <c r="C44" s="77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</row>
    <row r="45" ht="15.75" customHeight="1" s="360">
      <c r="A45" s="77" t="n"/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</row>
    <row r="46" ht="15.75" customHeight="1" s="360">
      <c r="A46" s="77" t="n"/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</row>
    <row r="47" ht="15.75" customHeight="1" s="360">
      <c r="A47" s="77" t="n"/>
      <c r="B47" s="77" t="n"/>
      <c r="C47" s="77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</row>
    <row r="48" ht="15.75" customHeight="1" s="360">
      <c r="A48" s="77" t="n"/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</row>
    <row r="49" ht="15.75" customHeight="1" s="360">
      <c r="A49" s="77" t="n"/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</row>
    <row r="50" ht="15.75" customHeight="1" s="360">
      <c r="A50" s="77" t="n"/>
      <c r="B50" s="77" t="n"/>
      <c r="C50" s="77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</row>
    <row r="51" ht="15.75" customHeight="1" s="360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</row>
    <row r="52" ht="15.75" customHeight="1" s="360">
      <c r="A52" s="77" t="n"/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</row>
    <row r="53" ht="15.75" customHeight="1" s="360">
      <c r="A53" s="77" t="n"/>
      <c r="B53" s="77" t="n"/>
      <c r="C53" s="77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</row>
    <row r="54" ht="15.75" customHeight="1" s="360">
      <c r="A54" s="77" t="n"/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</row>
    <row r="55" ht="15.75" customHeight="1" s="360">
      <c r="A55" s="77" t="n"/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</row>
    <row r="56" ht="15.75" customHeight="1" s="360">
      <c r="A56" s="77" t="n"/>
      <c r="B56" s="77" t="n"/>
      <c r="C56" s="77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</row>
    <row r="57" ht="15.75" customHeight="1" s="360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</row>
    <row r="58" ht="15.75" customHeight="1" s="360">
      <c r="A58" s="77" t="n"/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</row>
    <row r="59" ht="15.75" customHeight="1" s="360">
      <c r="A59" s="77" t="n"/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</row>
    <row r="60" ht="15.75" customHeight="1" s="360">
      <c r="A60" s="77" t="n"/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</row>
    <row r="61" ht="15.75" customHeight="1" s="360">
      <c r="A61" s="77" t="n"/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/>
      <c r="L61" s="77" t="n"/>
      <c r="M61" s="77" t="n"/>
      <c r="N61" s="77" t="n"/>
    </row>
    <row r="62" ht="15.75" customHeight="1" s="360">
      <c r="A62" s="77" t="n"/>
      <c r="B62" s="77" t="n"/>
      <c r="C62" s="77" t="n"/>
      <c r="D62" s="77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</row>
    <row r="63" ht="15.75" customHeight="1" s="360">
      <c r="A63" s="77" t="n"/>
      <c r="B63" s="77" t="n"/>
      <c r="C63" s="77" t="n"/>
      <c r="D63" s="77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</row>
    <row r="64" ht="15.75" customHeight="1" s="360">
      <c r="A64" s="77" t="n"/>
      <c r="B64" s="77" t="n"/>
      <c r="C64" s="77" t="n"/>
      <c r="D64" s="77" t="n"/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</row>
    <row r="65" ht="15.75" customHeight="1" s="360">
      <c r="A65" s="77" t="n"/>
      <c r="B65" s="77" t="n"/>
      <c r="C65" s="77" t="n"/>
      <c r="D65" s="77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</row>
    <row r="66" ht="15.75" customHeight="1" s="360">
      <c r="A66" s="77" t="n"/>
      <c r="B66" s="77" t="n"/>
      <c r="C66" s="77" t="n"/>
      <c r="D66" s="77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</row>
    <row r="67" ht="15.75" customHeight="1" s="360">
      <c r="A67" s="77" t="n"/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</row>
    <row r="68" ht="15.75" customHeight="1" s="360">
      <c r="A68" s="77" t="n"/>
      <c r="B68" s="77" t="n"/>
      <c r="C68" s="77" t="n"/>
      <c r="D68" s="77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</row>
    <row r="69" ht="15.75" customHeight="1" s="360">
      <c r="A69" s="77" t="n"/>
      <c r="B69" s="77" t="n"/>
      <c r="C69" s="77" t="n"/>
      <c r="D69" s="77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</row>
    <row r="70" ht="15.75" customHeight="1" s="360">
      <c r="A70" s="77" t="n"/>
      <c r="B70" s="77" t="n"/>
      <c r="C70" s="77" t="n"/>
      <c r="D70" s="77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</row>
    <row r="71" ht="15.75" customHeight="1" s="360">
      <c r="A71" s="77" t="n"/>
      <c r="B71" s="77" t="n"/>
      <c r="C71" s="77" t="n"/>
      <c r="D71" s="77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</row>
    <row r="72" ht="15.75" customHeight="1" s="360">
      <c r="A72" s="77" t="n"/>
      <c r="B72" s="77" t="n"/>
      <c r="C72" s="77" t="n"/>
      <c r="D72" s="77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</row>
    <row r="73" ht="15.75" customHeight="1" s="360">
      <c r="A73" s="77" t="n"/>
      <c r="B73" s="77" t="n"/>
      <c r="C73" s="77" t="n"/>
      <c r="D73" s="77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</row>
    <row r="74" ht="15.75" customHeight="1" s="360">
      <c r="A74" s="77" t="n"/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</row>
    <row r="75" ht="15.75" customHeight="1" s="360">
      <c r="A75" s="77" t="n"/>
      <c r="B75" s="77" t="n"/>
      <c r="C75" s="77" t="n"/>
      <c r="D75" s="77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</row>
    <row r="76" ht="15.75" customHeight="1" s="360">
      <c r="A76" s="77" t="n"/>
      <c r="B76" s="77" t="n"/>
      <c r="C76" s="77" t="n"/>
      <c r="D76" s="77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</row>
    <row r="77" ht="15.75" customHeight="1" s="360">
      <c r="A77" s="77" t="n"/>
      <c r="B77" s="77" t="n"/>
      <c r="C77" s="77" t="n"/>
      <c r="D77" s="77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</row>
    <row r="78" ht="15.75" customHeight="1" s="360">
      <c r="A78" s="77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</row>
    <row r="79" ht="15.75" customHeight="1" s="360">
      <c r="A79" s="77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</row>
    <row r="80" ht="15.75" customHeight="1" s="360">
      <c r="A80" s="77" t="n"/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</row>
    <row r="88" ht="15.75" customHeight="1" s="360">
      <c r="A88" s="77" t="n"/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</row>
    <row r="89" ht="15.75" customHeight="1" s="360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</row>
    <row r="90" ht="15.75" customHeight="1" s="360">
      <c r="A90" s="77" t="n"/>
      <c r="B90" s="77" t="n"/>
      <c r="C90" s="77" t="n"/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</row>
    <row r="91" ht="15.75" customHeight="1" s="360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</row>
    <row r="92" ht="15.75" customHeight="1" s="360">
      <c r="A92" s="77" t="n"/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</row>
    <row r="93" ht="15.75" customHeight="1" s="360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</row>
    <row r="94" ht="15.75" customHeight="1" s="360">
      <c r="A94" s="77" t="n"/>
      <c r="B94" s="77" t="n"/>
      <c r="C94" s="77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</row>
    <row r="95" ht="15.75" customHeight="1" s="360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</row>
    <row r="96" ht="15.75" customHeight="1" s="360">
      <c r="A96" s="77" t="n"/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</row>
    <row r="97" ht="15.75" customHeight="1" s="360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</row>
    <row r="98" ht="15.75" customHeight="1" s="360">
      <c r="A98" s="77" t="n"/>
      <c r="B98" s="77" t="n"/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</row>
    <row r="99" ht="15.75" customHeight="1" s="360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</row>
  </sheetData>
  <mergeCells count="20">
    <mergeCell ref="K23:N23"/>
    <mergeCell ref="B23:G23"/>
    <mergeCell ref="B20:N20"/>
    <mergeCell ref="H22:J22"/>
    <mergeCell ref="B4:N4"/>
    <mergeCell ref="K25:N25"/>
    <mergeCell ref="K24:N24"/>
    <mergeCell ref="B24:G24"/>
    <mergeCell ref="H24:J24"/>
    <mergeCell ref="K21:N21"/>
    <mergeCell ref="H23:J23"/>
    <mergeCell ref="B11:N11"/>
    <mergeCell ref="B2:N2"/>
    <mergeCell ref="B25:G25"/>
    <mergeCell ref="K22:N22"/>
    <mergeCell ref="B22:G22"/>
    <mergeCell ref="B1:N1"/>
    <mergeCell ref="B21:G21"/>
    <mergeCell ref="H25:J25"/>
    <mergeCell ref="H21:J21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" customWidth="1" style="360" min="1" max="1"/>
    <col width="28" customWidth="1" style="360" min="2" max="2"/>
    <col width="15" customWidth="1" style="360" min="3" max="3"/>
    <col width="22" customWidth="1" style="360" min="4" max="4"/>
    <col width="20" customWidth="1" style="360" min="5" max="5"/>
    <col width="18" customWidth="1" style="360" min="6" max="6"/>
    <col width="14" customWidth="1" style="360" min="7" max="7"/>
    <col width="22" customWidth="1" style="360" min="8" max="8"/>
    <col width="8.630000000000001" customWidth="1" style="360" min="9" max="26"/>
  </cols>
  <sheetData>
    <row r="1" ht="27.75" customHeight="1" s="360">
      <c r="A1" s="77" t="n"/>
      <c r="B1" s="381" t="inlineStr">
        <is>
          <t>PlasHub — Dashboard KPIs Operativos | Seguimiento Semanal/Mensual</t>
        </is>
      </c>
    </row>
    <row r="2" ht="15" customHeight="1" s="360">
      <c r="A2" s="77" t="n"/>
      <c r="B2" s="101" t="inlineStr">
        <is>
          <t>Raúl puede llevar estos KPIs sin ser contador. Actualizar semanalmente en registro simple.</t>
        </is>
      </c>
    </row>
    <row r="3">
      <c r="A3" s="77" t="n"/>
      <c r="B3" s="77" t="n"/>
      <c r="C3" s="77" t="n"/>
      <c r="D3" s="77" t="n"/>
      <c r="E3" s="77" t="n"/>
      <c r="F3" s="77" t="n"/>
      <c r="G3" s="77" t="n"/>
      <c r="H3" s="77" t="n"/>
    </row>
    <row r="4" ht="39.75" customHeight="1" s="360">
      <c r="A4" s="77" t="n"/>
      <c r="B4" s="103" t="inlineStr">
        <is>
          <t>KPI</t>
        </is>
      </c>
      <c r="C4" s="103" t="inlineStr">
        <is>
          <t>Frecuencia</t>
        </is>
      </c>
      <c r="D4" s="103" t="inlineStr">
        <is>
          <t>Fórmula de cálculo</t>
        </is>
      </c>
      <c r="E4" s="103" t="inlineStr">
        <is>
          <t>Objetivo / Alerta</t>
        </is>
      </c>
      <c r="F4" s="103" t="inlineStr">
        <is>
          <t>Fuente del dato</t>
        </is>
      </c>
      <c r="G4" s="103" t="inlineStr">
        <is>
          <t>Quién mide</t>
        </is>
      </c>
      <c r="H4" s="103" t="inlineStr">
        <is>
          <t>Acción si supera alerta</t>
        </is>
      </c>
    </row>
    <row r="5" ht="64.5" customHeight="1" s="360">
      <c r="A5" s="77" t="n"/>
      <c r="B5" s="157" t="inlineStr">
        <is>
          <t>Costo por tonelada almacenada ($/t)</t>
        </is>
      </c>
      <c r="C5" s="174" t="inlineStr">
        <is>
          <t>Semanal</t>
        </is>
      </c>
      <c r="D5" s="175" t="inlineStr">
        <is>
          <t>OPEX semana ÷ Toneladas en almacén</t>
        </is>
      </c>
      <c r="E5" s="176" t="inlineStr">
        <is>
          <t>Objetivo: $10-12/t
ALERTA: &gt; $15/t</t>
        </is>
      </c>
      <c r="F5" s="177" t="inlineStr">
        <is>
          <t>Inventario + banco</t>
        </is>
      </c>
      <c r="G5" s="178" t="inlineStr">
        <is>
          <t>Jefe de Planta</t>
        </is>
      </c>
      <c r="H5" s="175" t="inlineStr">
        <is>
          <t>Si &gt; $15/t: revisar rotación. Material &gt; 45 días → bajar precio para liquidar.</t>
        </is>
      </c>
    </row>
    <row r="6" ht="64.5" customHeight="1" s="360">
      <c r="A6" s="77" t="n"/>
      <c r="B6" s="104" t="inlineStr">
        <is>
          <t>Margen bruto por despacho (%)</t>
        </is>
      </c>
      <c r="C6" s="179" t="inlineStr">
        <is>
          <t>Por despacho</t>
        </is>
      </c>
      <c r="D6" s="118" t="inlineStr">
        <is>
          <t>(Precio venta − Precio compra) ÷ Precio venta</t>
        </is>
      </c>
      <c r="E6" s="180" t="inlineStr">
        <is>
          <t>Mínimo: 30%
Objetivo: &gt; 40%</t>
        </is>
      </c>
      <c r="F6" s="181" t="inlineStr">
        <is>
          <t>Factura compra + venta</t>
        </is>
      </c>
      <c r="G6" s="182" t="inlineStr">
        <is>
          <t>Raúl / Contador</t>
        </is>
      </c>
      <c r="H6" s="118" t="inlineStr">
        <is>
          <t>Si &lt; 30%: revisar precio compra o renegociar precio venta. Escalar a Alex.</t>
        </is>
      </c>
    </row>
    <row r="7" ht="64.5" customHeight="1" s="360">
      <c r="A7" s="77" t="n"/>
      <c r="B7" s="157" t="inlineStr">
        <is>
          <t>Días de inventario por material</t>
        </is>
      </c>
      <c r="C7" s="174" t="inlineStr">
        <is>
          <t>Semanal</t>
        </is>
      </c>
      <c r="D7" s="175" t="inlineStr">
        <is>
          <t>Toneladas stock ÷ Toneladas recibidas/semana</t>
        </is>
      </c>
      <c r="E7" s="176" t="inlineStr">
        <is>
          <t>Objetivo: &lt; 30 días
ALERTA: &gt; 45 días</t>
        </is>
      </c>
      <c r="F7" s="177" t="inlineStr">
        <is>
          <t>Libro EC-RS + báscula</t>
        </is>
      </c>
      <c r="G7" s="178" t="inlineStr">
        <is>
          <t>Jefe de Planta</t>
        </is>
      </c>
      <c r="H7" s="175" t="inlineStr">
        <is>
          <t>Si &gt; 45 días: revisar demanda. Considerar mezcla o precio rebajado.</t>
        </is>
      </c>
    </row>
    <row r="8" ht="64.5" customHeight="1" s="360">
      <c r="A8" s="77" t="n"/>
      <c r="B8" s="104" t="inlineStr">
        <is>
          <t>Caja disponible vs. compromisos 30d ($)</t>
        </is>
      </c>
      <c r="C8" s="179" t="inlineStr">
        <is>
          <t>Semanal</t>
        </is>
      </c>
      <c r="D8" s="118" t="inlineStr">
        <is>
          <t>Saldo banco − Pagos comprometidos 30 días</t>
        </is>
      </c>
      <c r="E8" s="180" t="inlineStr">
        <is>
          <t>ALERTA: &lt; $3,000
Crítico: &lt; $1,500</t>
        </is>
      </c>
      <c r="F8" s="181" t="inlineStr">
        <is>
          <t>Extracto bancario + facturas</t>
        </is>
      </c>
      <c r="G8" s="182" t="inlineStr">
        <is>
          <t>Raúl</t>
        </is>
      </c>
      <c r="H8" s="118" t="inlineStr">
        <is>
          <t>Si &lt; $3,000: NO comprar material nuevo hasta cobrar. Activar cobro urgente.</t>
        </is>
      </c>
    </row>
    <row r="9" ht="64.5" customHeight="1" s="360">
      <c r="A9" s="77" t="n"/>
      <c r="B9" s="157" t="inlineStr">
        <is>
          <t>Costo flete inbound ($/t)</t>
        </is>
      </c>
      <c r="C9" s="174" t="inlineStr">
        <is>
          <t>Por camión</t>
        </is>
      </c>
      <c r="D9" s="175" t="inlineStr">
        <is>
          <t>Costo total flete ÷ Toneladas del viaje</t>
        </is>
      </c>
      <c r="E9" s="176" t="inlineStr">
        <is>
          <t>Objetivo: &lt; $12/t
ALERTA: &gt; $18/t</t>
        </is>
      </c>
      <c r="F9" s="177" t="inlineStr">
        <is>
          <t>Factura transportista</t>
        </is>
      </c>
      <c r="G9" s="178" t="inlineStr">
        <is>
          <t>Warehouse Manager</t>
        </is>
      </c>
      <c r="H9" s="175" t="inlineStr">
        <is>
          <t>Si &gt; $18/t: renegociar o consolidar viajes (menos camiones, más llenos).</t>
        </is>
      </c>
    </row>
    <row r="10" ht="64.5" customHeight="1" s="360">
      <c r="A10" s="77" t="n"/>
      <c r="B10" s="104" t="inlineStr">
        <is>
          <t>Tiempo ciclo proveedor→despacho (días)</t>
        </is>
      </c>
      <c r="C10" s="179" t="inlineStr">
        <is>
          <t>Por lote</t>
        </is>
      </c>
      <c r="D10" s="118" t="inlineStr">
        <is>
          <t>Fecha despacho − Fecha primera recepción del lote</t>
        </is>
      </c>
      <c r="E10" s="180" t="inlineStr">
        <is>
          <t>Objetivo: &lt; 30 días
ALERTA: &gt; 45 días</t>
        </is>
      </c>
      <c r="F10" s="181" t="inlineStr">
        <is>
          <t>Libro EC-RS + nota entrega</t>
        </is>
      </c>
      <c r="G10" s="182" t="inlineStr">
        <is>
          <t>Jefe de Planta</t>
        </is>
      </c>
      <c r="H10" s="118" t="inlineStr">
        <is>
          <t>Si &gt; 45 días: ¿consolidar con otro tipo? Revisar target 20 ton mínimo.</t>
        </is>
      </c>
    </row>
    <row r="11" ht="64.5" customHeight="1" s="360">
      <c r="A11" s="77" t="n"/>
      <c r="B11" s="157" t="inlineStr">
        <is>
          <t>Volumen mensual vs. target (%)</t>
        </is>
      </c>
      <c r="C11" s="174" t="inlineStr">
        <is>
          <t>Mensual</t>
        </is>
      </c>
      <c r="D11" s="175" t="inlineStr">
        <is>
          <t>Toneladas recibidas ÷ Target mensual × 100%</t>
        </is>
      </c>
      <c r="E11" s="176" t="inlineStr">
        <is>
          <t>Objetivo: ≥ 80%
ALERTA: &lt; 60%</t>
        </is>
      </c>
      <c r="F11" s="177" t="inlineStr">
        <is>
          <t>Libro EC-RS + pesadas</t>
        </is>
      </c>
      <c r="G11" s="178" t="inlineStr">
        <is>
          <t>Raúl</t>
        </is>
      </c>
      <c r="H11" s="175" t="inlineStr">
        <is>
          <t>Si &lt; 60% por 2 meses: reunión urgente Alex + Raúl. Revisar fuentes alternativas.</t>
        </is>
      </c>
    </row>
    <row r="12" ht="64.5" customHeight="1" s="360">
      <c r="A12" s="77" t="n"/>
      <c r="B12" s="104" t="inlineStr">
        <is>
          <t>Tasa de rechazo por calidad (%)</t>
        </is>
      </c>
      <c r="C12" s="179" t="inlineStr">
        <is>
          <t>Por despacho</t>
        </is>
      </c>
      <c r="D12" s="118" t="inlineStr">
        <is>
          <t>Toneladas rechazadas ÷ Toneladas despachadas</t>
        </is>
      </c>
      <c r="E12" s="180" t="inlineStr">
        <is>
          <t>Stage 1: &lt; 10%
Stage 2: &lt; 5%</t>
        </is>
      </c>
      <c r="F12" s="181" t="inlineStr">
        <is>
          <t>Reclamo cliente + nota devolución</t>
        </is>
      </c>
      <c r="G12" s="182" t="inlineStr">
        <is>
          <t>Jefe de Planta</t>
        </is>
      </c>
      <c r="H12" s="118" t="inlineStr">
        <is>
          <t>Si &gt; 10%: revisar criterios clasificación y calificación de proveedores.</t>
        </is>
      </c>
    </row>
    <row r="13">
      <c r="A13" s="77" t="n"/>
      <c r="B13" s="77" t="n"/>
      <c r="C13" s="77" t="n"/>
      <c r="D13" s="77" t="n"/>
      <c r="E13" s="77" t="n"/>
      <c r="F13" s="77" t="n"/>
      <c r="G13" s="77" t="n"/>
      <c r="H13" s="77" t="n"/>
    </row>
    <row r="14">
      <c r="A14" s="77" t="n"/>
      <c r="B14" s="77" t="n"/>
      <c r="C14" s="77" t="n"/>
      <c r="D14" s="77" t="n"/>
      <c r="E14" s="77" t="n"/>
      <c r="F14" s="77" t="n"/>
      <c r="G14" s="77" t="n"/>
      <c r="H14" s="77" t="n"/>
    </row>
    <row r="15">
      <c r="A15" s="77" t="n"/>
      <c r="B15" s="77" t="n"/>
      <c r="C15" s="77" t="n"/>
      <c r="D15" s="77" t="n"/>
      <c r="E15" s="77" t="n"/>
      <c r="F15" s="77" t="n"/>
      <c r="G15" s="77" t="n"/>
      <c r="H15" s="77" t="n"/>
    </row>
    <row r="16">
      <c r="A16" s="77" t="n"/>
      <c r="B16" s="77" t="n"/>
      <c r="C16" s="77" t="n"/>
      <c r="D16" s="77" t="n"/>
      <c r="E16" s="77" t="n"/>
      <c r="F16" s="77" t="n"/>
      <c r="G16" s="77" t="n"/>
      <c r="H16" s="77" t="n"/>
    </row>
    <row r="17">
      <c r="A17" s="77" t="n"/>
      <c r="B17" s="77" t="n"/>
      <c r="C17" s="77" t="n"/>
      <c r="D17" s="77" t="n"/>
      <c r="E17" s="77" t="n"/>
      <c r="F17" s="77" t="n"/>
      <c r="G17" s="77" t="n"/>
      <c r="H17" s="77" t="n"/>
    </row>
    <row r="18">
      <c r="A18" s="77" t="n"/>
      <c r="B18" s="77" t="n"/>
      <c r="C18" s="77" t="n"/>
      <c r="D18" s="77" t="n"/>
      <c r="E18" s="77" t="n"/>
      <c r="F18" s="77" t="n"/>
      <c r="G18" s="77" t="n"/>
      <c r="H18" s="77" t="n"/>
    </row>
    <row r="19">
      <c r="A19" s="77" t="n"/>
      <c r="B19" s="77" t="n"/>
      <c r="C19" s="77" t="n"/>
      <c r="D19" s="77" t="n"/>
      <c r="E19" s="77" t="n"/>
      <c r="F19" s="77" t="n"/>
      <c r="G19" s="77" t="n"/>
      <c r="H19" s="77" t="n"/>
    </row>
    <row r="20">
      <c r="A20" s="77" t="n"/>
      <c r="B20" s="77" t="n"/>
      <c r="C20" s="77" t="n"/>
      <c r="D20" s="77" t="n"/>
      <c r="E20" s="77" t="n"/>
      <c r="F20" s="77" t="n"/>
      <c r="G20" s="77" t="n"/>
      <c r="H20" s="77" t="n"/>
    </row>
    <row r="21" ht="15.75" customHeight="1" s="360">
      <c r="A21" s="77" t="n"/>
      <c r="B21" s="77" t="n"/>
      <c r="C21" s="77" t="n"/>
      <c r="D21" s="77" t="n"/>
      <c r="E21" s="77" t="n"/>
      <c r="F21" s="77" t="n"/>
      <c r="G21" s="77" t="n"/>
      <c r="H21" s="77" t="n"/>
    </row>
    <row r="22" ht="15.75" customHeight="1" s="360">
      <c r="A22" s="77" t="n"/>
      <c r="B22" s="77" t="n"/>
      <c r="C22" s="77" t="n"/>
      <c r="D22" s="77" t="n"/>
      <c r="E22" s="77" t="n"/>
      <c r="F22" s="77" t="n"/>
      <c r="G22" s="77" t="n"/>
      <c r="H22" s="77" t="n"/>
    </row>
    <row r="23" ht="15.75" customHeight="1" s="360">
      <c r="A23" s="77" t="n"/>
      <c r="B23" s="77" t="n"/>
      <c r="C23" s="77" t="n"/>
      <c r="D23" s="77" t="n"/>
      <c r="E23" s="77" t="n"/>
      <c r="F23" s="77" t="n"/>
      <c r="G23" s="77" t="n"/>
      <c r="H23" s="77" t="n"/>
    </row>
    <row r="24" ht="15.75" customHeight="1" s="360">
      <c r="A24" s="77" t="n"/>
      <c r="B24" s="77" t="n"/>
      <c r="C24" s="77" t="n"/>
      <c r="D24" s="77" t="n"/>
      <c r="E24" s="77" t="n"/>
      <c r="F24" s="77" t="n"/>
      <c r="G24" s="77" t="n"/>
      <c r="H24" s="77" t="n"/>
    </row>
    <row r="25" ht="15.75" customHeight="1" s="360">
      <c r="A25" s="77" t="n"/>
      <c r="B25" s="77" t="n"/>
      <c r="C25" s="77" t="n"/>
      <c r="D25" s="77" t="n"/>
      <c r="E25" s="77" t="n"/>
      <c r="F25" s="77" t="n"/>
      <c r="G25" s="77" t="n"/>
      <c r="H25" s="77" t="n"/>
    </row>
    <row r="26" ht="15.75" customHeight="1" s="360">
      <c r="A26" s="77" t="n"/>
      <c r="B26" s="77" t="n"/>
      <c r="C26" s="77" t="n"/>
      <c r="D26" s="77" t="n"/>
      <c r="E26" s="77" t="n"/>
      <c r="F26" s="77" t="n"/>
      <c r="G26" s="77" t="n"/>
      <c r="H26" s="77" t="n"/>
    </row>
    <row r="27" ht="15.75" customHeight="1" s="360">
      <c r="A27" s="77" t="n"/>
      <c r="B27" s="77" t="n"/>
      <c r="C27" s="77" t="n"/>
      <c r="D27" s="77" t="n"/>
      <c r="E27" s="77" t="n"/>
      <c r="F27" s="77" t="n"/>
      <c r="G27" s="77" t="n"/>
      <c r="H27" s="77" t="n"/>
    </row>
    <row r="28" ht="15.75" customHeight="1" s="360">
      <c r="A28" s="77" t="n"/>
      <c r="B28" s="77" t="n"/>
      <c r="C28" s="77" t="n"/>
      <c r="D28" s="77" t="n"/>
      <c r="E28" s="77" t="n"/>
      <c r="F28" s="77" t="n"/>
      <c r="G28" s="77" t="n"/>
      <c r="H28" s="77" t="n"/>
    </row>
    <row r="29" ht="15.75" customHeight="1" s="360">
      <c r="A29" s="77" t="n"/>
      <c r="B29" s="77" t="n"/>
      <c r="C29" s="77" t="n"/>
      <c r="D29" s="77" t="n"/>
      <c r="E29" s="77" t="n"/>
      <c r="F29" s="77" t="n"/>
      <c r="G29" s="77" t="n"/>
      <c r="H29" s="77" t="n"/>
    </row>
    <row r="30" ht="15.75" customHeight="1" s="360">
      <c r="A30" s="77" t="n"/>
      <c r="B30" s="77" t="n"/>
      <c r="C30" s="77" t="n"/>
      <c r="D30" s="77" t="n"/>
      <c r="E30" s="77" t="n"/>
      <c r="F30" s="77" t="n"/>
      <c r="G30" s="77" t="n"/>
      <c r="H30" s="77" t="n"/>
    </row>
    <row r="31" ht="15.75" customHeight="1" s="360">
      <c r="A31" s="77" t="n"/>
      <c r="B31" s="77" t="n"/>
      <c r="C31" s="77" t="n"/>
      <c r="D31" s="77" t="n"/>
      <c r="E31" s="77" t="n"/>
      <c r="F31" s="77" t="n"/>
      <c r="G31" s="77" t="n"/>
      <c r="H31" s="77" t="n"/>
    </row>
    <row r="32" ht="15.75" customHeight="1" s="360">
      <c r="A32" s="77" t="n"/>
      <c r="B32" s="77" t="n"/>
      <c r="C32" s="77" t="n"/>
      <c r="D32" s="77" t="n"/>
      <c r="E32" s="77" t="n"/>
      <c r="F32" s="77" t="n"/>
      <c r="G32" s="77" t="n"/>
      <c r="H32" s="77" t="n"/>
    </row>
    <row r="33" ht="15.75" customHeight="1" s="360">
      <c r="A33" s="77" t="n"/>
      <c r="B33" s="77" t="n"/>
      <c r="C33" s="77" t="n"/>
      <c r="D33" s="77" t="n"/>
      <c r="E33" s="77" t="n"/>
      <c r="F33" s="77" t="n"/>
      <c r="G33" s="77" t="n"/>
      <c r="H33" s="77" t="n"/>
    </row>
    <row r="34" ht="15.75" customHeight="1" s="360">
      <c r="A34" s="77" t="n"/>
      <c r="B34" s="77" t="n"/>
      <c r="C34" s="77" t="n"/>
      <c r="D34" s="77" t="n"/>
      <c r="E34" s="77" t="n"/>
      <c r="F34" s="77" t="n"/>
      <c r="G34" s="77" t="n"/>
      <c r="H34" s="77" t="n"/>
    </row>
    <row r="35" ht="15.75" customHeight="1" s="360">
      <c r="A35" s="77" t="n"/>
      <c r="B35" s="77" t="n"/>
      <c r="C35" s="77" t="n"/>
      <c r="D35" s="77" t="n"/>
      <c r="E35" s="77" t="n"/>
      <c r="F35" s="77" t="n"/>
      <c r="G35" s="77" t="n"/>
      <c r="H35" s="77" t="n"/>
    </row>
    <row r="36" ht="15.75" customHeight="1" s="360">
      <c r="A36" s="77" t="n"/>
      <c r="B36" s="77" t="n"/>
      <c r="C36" s="77" t="n"/>
      <c r="D36" s="77" t="n"/>
      <c r="E36" s="77" t="n"/>
      <c r="F36" s="77" t="n"/>
      <c r="G36" s="77" t="n"/>
      <c r="H36" s="77" t="n"/>
    </row>
    <row r="37" ht="15.75" customHeight="1" s="360">
      <c r="A37" s="77" t="n"/>
      <c r="B37" s="77" t="n"/>
      <c r="C37" s="77" t="n"/>
      <c r="D37" s="77" t="n"/>
      <c r="E37" s="77" t="n"/>
      <c r="F37" s="77" t="n"/>
      <c r="G37" s="77" t="n"/>
      <c r="H37" s="77" t="n"/>
    </row>
    <row r="38" ht="15.75" customHeight="1" s="360">
      <c r="A38" s="77" t="n"/>
      <c r="B38" s="77" t="n"/>
      <c r="C38" s="77" t="n"/>
      <c r="D38" s="77" t="n"/>
      <c r="E38" s="77" t="n"/>
      <c r="F38" s="77" t="n"/>
      <c r="G38" s="77" t="n"/>
      <c r="H38" s="77" t="n"/>
    </row>
    <row r="39" ht="15.75" customHeight="1" s="360">
      <c r="A39" s="77" t="n"/>
      <c r="B39" s="77" t="n"/>
      <c r="C39" s="77" t="n"/>
      <c r="D39" s="77" t="n"/>
      <c r="E39" s="77" t="n"/>
      <c r="F39" s="77" t="n"/>
      <c r="G39" s="77" t="n"/>
      <c r="H39" s="77" t="n"/>
    </row>
    <row r="40" ht="15.75" customHeight="1" s="360">
      <c r="A40" s="77" t="n"/>
      <c r="B40" s="77" t="n"/>
      <c r="C40" s="77" t="n"/>
      <c r="D40" s="77" t="n"/>
      <c r="E40" s="77" t="n"/>
      <c r="F40" s="77" t="n"/>
      <c r="G40" s="77" t="n"/>
      <c r="H40" s="77" t="n"/>
    </row>
    <row r="41" ht="15.75" customHeight="1" s="360">
      <c r="A41" s="77" t="n"/>
      <c r="B41" s="77" t="n"/>
      <c r="C41" s="77" t="n"/>
      <c r="D41" s="77" t="n"/>
      <c r="E41" s="77" t="n"/>
      <c r="F41" s="77" t="n"/>
      <c r="G41" s="77" t="n"/>
      <c r="H41" s="77" t="n"/>
    </row>
    <row r="42" ht="15.75" customHeight="1" s="360">
      <c r="A42" s="77" t="n"/>
      <c r="B42" s="77" t="n"/>
      <c r="C42" s="77" t="n"/>
      <c r="D42" s="77" t="n"/>
      <c r="E42" s="77" t="n"/>
      <c r="F42" s="77" t="n"/>
      <c r="G42" s="77" t="n"/>
      <c r="H42" s="77" t="n"/>
    </row>
    <row r="43" ht="15.75" customHeight="1" s="360">
      <c r="A43" s="77" t="n"/>
      <c r="B43" s="77" t="n"/>
      <c r="C43" s="77" t="n"/>
      <c r="D43" s="77" t="n"/>
      <c r="E43" s="77" t="n"/>
      <c r="F43" s="77" t="n"/>
      <c r="G43" s="77" t="n"/>
      <c r="H43" s="77" t="n"/>
    </row>
    <row r="44" ht="15.75" customHeight="1" s="360">
      <c r="A44" s="77" t="n"/>
      <c r="B44" s="77" t="n"/>
      <c r="C44" s="77" t="n"/>
      <c r="D44" s="77" t="n"/>
      <c r="E44" s="77" t="n"/>
      <c r="F44" s="77" t="n"/>
      <c r="G44" s="77" t="n"/>
      <c r="H44" s="77" t="n"/>
    </row>
    <row r="45" ht="15.75" customHeight="1" s="360">
      <c r="A45" s="77" t="n"/>
      <c r="B45" s="77" t="n"/>
      <c r="C45" s="77" t="n"/>
      <c r="D45" s="77" t="n"/>
      <c r="E45" s="77" t="n"/>
      <c r="F45" s="77" t="n"/>
      <c r="G45" s="77" t="n"/>
      <c r="H45" s="77" t="n"/>
    </row>
    <row r="46" ht="15.75" customHeight="1" s="360">
      <c r="A46" s="77" t="n"/>
      <c r="B46" s="77" t="n"/>
      <c r="C46" s="77" t="n"/>
      <c r="D46" s="77" t="n"/>
      <c r="E46" s="77" t="n"/>
      <c r="F46" s="77" t="n"/>
      <c r="G46" s="77" t="n"/>
      <c r="H46" s="77" t="n"/>
    </row>
    <row r="47" ht="15.75" customHeight="1" s="360">
      <c r="A47" s="77" t="n"/>
      <c r="B47" s="77" t="n"/>
      <c r="C47" s="77" t="n"/>
      <c r="D47" s="77" t="n"/>
      <c r="E47" s="77" t="n"/>
      <c r="F47" s="77" t="n"/>
      <c r="G47" s="77" t="n"/>
      <c r="H47" s="77" t="n"/>
    </row>
    <row r="48" ht="15.75" customHeight="1" s="360">
      <c r="A48" s="77" t="n"/>
      <c r="B48" s="77" t="n"/>
      <c r="C48" s="77" t="n"/>
      <c r="D48" s="77" t="n"/>
      <c r="E48" s="77" t="n"/>
      <c r="F48" s="77" t="n"/>
      <c r="G48" s="77" t="n"/>
      <c r="H48" s="77" t="n"/>
    </row>
    <row r="49" ht="15.75" customHeight="1" s="360">
      <c r="A49" s="77" t="n"/>
      <c r="B49" s="77" t="n"/>
      <c r="C49" s="77" t="n"/>
      <c r="D49" s="77" t="n"/>
      <c r="E49" s="77" t="n"/>
      <c r="F49" s="77" t="n"/>
      <c r="G49" s="77" t="n"/>
      <c r="H49" s="77" t="n"/>
    </row>
    <row r="50" ht="15.75" customHeight="1" s="360">
      <c r="A50" s="77" t="n"/>
      <c r="B50" s="77" t="n"/>
      <c r="C50" s="77" t="n"/>
      <c r="D50" s="77" t="n"/>
      <c r="E50" s="77" t="n"/>
      <c r="F50" s="77" t="n"/>
      <c r="G50" s="77" t="n"/>
      <c r="H50" s="77" t="n"/>
    </row>
    <row r="51" ht="15.75" customHeight="1" s="360">
      <c r="A51" s="77" t="n"/>
      <c r="B51" s="77" t="n"/>
      <c r="C51" s="77" t="n"/>
      <c r="D51" s="77" t="n"/>
      <c r="E51" s="77" t="n"/>
      <c r="F51" s="77" t="n"/>
      <c r="G51" s="77" t="n"/>
      <c r="H51" s="77" t="n"/>
    </row>
    <row r="52" ht="15.75" customHeight="1" s="360">
      <c r="A52" s="77" t="n"/>
      <c r="B52" s="77" t="n"/>
      <c r="C52" s="77" t="n"/>
      <c r="D52" s="77" t="n"/>
      <c r="E52" s="77" t="n"/>
      <c r="F52" s="77" t="n"/>
      <c r="G52" s="77" t="n"/>
      <c r="H52" s="77" t="n"/>
    </row>
    <row r="53" ht="15.75" customHeight="1" s="360">
      <c r="A53" s="77" t="n"/>
      <c r="B53" s="77" t="n"/>
      <c r="C53" s="77" t="n"/>
      <c r="D53" s="77" t="n"/>
      <c r="E53" s="77" t="n"/>
      <c r="F53" s="77" t="n"/>
      <c r="G53" s="77" t="n"/>
      <c r="H53" s="77" t="n"/>
    </row>
    <row r="54" ht="15.75" customHeight="1" s="360">
      <c r="A54" s="77" t="n"/>
      <c r="B54" s="77" t="n"/>
      <c r="C54" s="77" t="n"/>
      <c r="D54" s="77" t="n"/>
      <c r="E54" s="77" t="n"/>
      <c r="F54" s="77" t="n"/>
      <c r="G54" s="77" t="n"/>
      <c r="H54" s="77" t="n"/>
    </row>
    <row r="55" ht="15.75" customHeight="1" s="360">
      <c r="A55" s="77" t="n"/>
      <c r="B55" s="77" t="n"/>
      <c r="C55" s="77" t="n"/>
      <c r="D55" s="77" t="n"/>
      <c r="E55" s="77" t="n"/>
      <c r="F55" s="77" t="n"/>
      <c r="G55" s="77" t="n"/>
      <c r="H55" s="77" t="n"/>
    </row>
    <row r="56" ht="15.75" customHeight="1" s="360">
      <c r="A56" s="77" t="n"/>
      <c r="B56" s="77" t="n"/>
      <c r="C56" s="77" t="n"/>
      <c r="D56" s="77" t="n"/>
      <c r="E56" s="77" t="n"/>
      <c r="F56" s="77" t="n"/>
      <c r="G56" s="77" t="n"/>
      <c r="H56" s="77" t="n"/>
    </row>
    <row r="57" ht="15.75" customHeight="1" s="360">
      <c r="A57" s="77" t="n"/>
      <c r="B57" s="77" t="n"/>
      <c r="C57" s="77" t="n"/>
      <c r="D57" s="77" t="n"/>
      <c r="E57" s="77" t="n"/>
      <c r="F57" s="77" t="n"/>
      <c r="G57" s="77" t="n"/>
      <c r="H57" s="77" t="n"/>
    </row>
    <row r="58" ht="15.75" customHeight="1" s="360">
      <c r="A58" s="77" t="n"/>
      <c r="B58" s="77" t="n"/>
      <c r="C58" s="77" t="n"/>
      <c r="D58" s="77" t="n"/>
      <c r="E58" s="77" t="n"/>
      <c r="F58" s="77" t="n"/>
      <c r="G58" s="77" t="n"/>
      <c r="H58" s="77" t="n"/>
    </row>
    <row r="59" ht="15.75" customHeight="1" s="360">
      <c r="A59" s="77" t="n"/>
      <c r="B59" s="77" t="n"/>
      <c r="C59" s="77" t="n"/>
      <c r="D59" s="77" t="n"/>
      <c r="E59" s="77" t="n"/>
      <c r="F59" s="77" t="n"/>
      <c r="G59" s="77" t="n"/>
      <c r="H59" s="77" t="n"/>
    </row>
    <row r="60" ht="15.75" customHeight="1" s="360">
      <c r="A60" s="77" t="n"/>
      <c r="B60" s="77" t="n"/>
      <c r="C60" s="77" t="n"/>
      <c r="D60" s="77" t="n"/>
      <c r="E60" s="77" t="n"/>
      <c r="F60" s="77" t="n"/>
      <c r="G60" s="77" t="n"/>
      <c r="H60" s="77" t="n"/>
    </row>
    <row r="61" ht="15.75" customHeight="1" s="360">
      <c r="A61" s="77" t="n"/>
      <c r="B61" s="77" t="n"/>
      <c r="C61" s="77" t="n"/>
      <c r="D61" s="77" t="n"/>
      <c r="E61" s="77" t="n"/>
      <c r="F61" s="77" t="n"/>
      <c r="G61" s="77" t="n"/>
      <c r="H61" s="77" t="n"/>
    </row>
    <row r="62" ht="15.75" customHeight="1" s="360">
      <c r="A62" s="77" t="n"/>
      <c r="B62" s="77" t="n"/>
      <c r="C62" s="77" t="n"/>
      <c r="D62" s="77" t="n"/>
      <c r="E62" s="77" t="n"/>
      <c r="F62" s="77" t="n"/>
      <c r="G62" s="77" t="n"/>
      <c r="H62" s="77" t="n"/>
    </row>
    <row r="63" ht="15.75" customHeight="1" s="360">
      <c r="A63" s="77" t="n"/>
      <c r="B63" s="77" t="n"/>
      <c r="C63" s="77" t="n"/>
      <c r="D63" s="77" t="n"/>
      <c r="E63" s="77" t="n"/>
      <c r="F63" s="77" t="n"/>
      <c r="G63" s="77" t="n"/>
      <c r="H63" s="77" t="n"/>
    </row>
    <row r="64" ht="15.75" customHeight="1" s="360">
      <c r="A64" s="77" t="n"/>
      <c r="B64" s="77" t="n"/>
      <c r="C64" s="77" t="n"/>
      <c r="D64" s="77" t="n"/>
      <c r="E64" s="77" t="n"/>
      <c r="F64" s="77" t="n"/>
      <c r="G64" s="77" t="n"/>
      <c r="H64" s="77" t="n"/>
    </row>
    <row r="65" ht="15.75" customHeight="1" s="360">
      <c r="A65" s="77" t="n"/>
      <c r="B65" s="77" t="n"/>
      <c r="C65" s="77" t="n"/>
      <c r="D65" s="77" t="n"/>
      <c r="E65" s="77" t="n"/>
      <c r="F65" s="77" t="n"/>
      <c r="G65" s="77" t="n"/>
      <c r="H65" s="77" t="n"/>
    </row>
    <row r="66" ht="15.75" customHeight="1" s="360">
      <c r="A66" s="77" t="n"/>
      <c r="B66" s="77" t="n"/>
      <c r="C66" s="77" t="n"/>
      <c r="D66" s="77" t="n"/>
      <c r="E66" s="77" t="n"/>
      <c r="F66" s="77" t="n"/>
      <c r="G66" s="77" t="n"/>
      <c r="H66" s="77" t="n"/>
    </row>
    <row r="67" ht="15.75" customHeight="1" s="360">
      <c r="A67" s="77" t="n"/>
      <c r="B67" s="77" t="n"/>
      <c r="C67" s="77" t="n"/>
      <c r="D67" s="77" t="n"/>
      <c r="E67" s="77" t="n"/>
      <c r="F67" s="77" t="n"/>
      <c r="G67" s="77" t="n"/>
      <c r="H67" s="77" t="n"/>
    </row>
    <row r="68" ht="15.75" customHeight="1" s="360">
      <c r="A68" s="77" t="n"/>
      <c r="B68" s="77" t="n"/>
      <c r="C68" s="77" t="n"/>
      <c r="D68" s="77" t="n"/>
      <c r="E68" s="77" t="n"/>
      <c r="F68" s="77" t="n"/>
      <c r="G68" s="77" t="n"/>
      <c r="H68" s="77" t="n"/>
    </row>
    <row r="69" ht="15.75" customHeight="1" s="360">
      <c r="A69" s="77" t="n"/>
      <c r="B69" s="77" t="n"/>
      <c r="C69" s="77" t="n"/>
      <c r="D69" s="77" t="n"/>
      <c r="E69" s="77" t="n"/>
      <c r="F69" s="77" t="n"/>
      <c r="G69" s="77" t="n"/>
      <c r="H69" s="77" t="n"/>
    </row>
    <row r="70" ht="15.75" customHeight="1" s="360">
      <c r="A70" s="77" t="n"/>
      <c r="B70" s="77" t="n"/>
      <c r="C70" s="77" t="n"/>
      <c r="D70" s="77" t="n"/>
      <c r="E70" s="77" t="n"/>
      <c r="F70" s="77" t="n"/>
      <c r="G70" s="77" t="n"/>
      <c r="H70" s="77" t="n"/>
    </row>
    <row r="71" ht="15.75" customHeight="1" s="360">
      <c r="A71" s="77" t="n"/>
      <c r="B71" s="77" t="n"/>
      <c r="C71" s="77" t="n"/>
      <c r="D71" s="77" t="n"/>
      <c r="E71" s="77" t="n"/>
      <c r="F71" s="77" t="n"/>
      <c r="G71" s="77" t="n"/>
      <c r="H71" s="77" t="n"/>
    </row>
    <row r="72" ht="15.75" customHeight="1" s="360">
      <c r="A72" s="77" t="n"/>
      <c r="B72" s="77" t="n"/>
      <c r="C72" s="77" t="n"/>
      <c r="D72" s="77" t="n"/>
      <c r="E72" s="77" t="n"/>
      <c r="F72" s="77" t="n"/>
      <c r="G72" s="77" t="n"/>
      <c r="H72" s="77" t="n"/>
    </row>
    <row r="73" ht="15.75" customHeight="1" s="360">
      <c r="A73" s="77" t="n"/>
      <c r="B73" s="77" t="n"/>
      <c r="C73" s="77" t="n"/>
      <c r="D73" s="77" t="n"/>
      <c r="E73" s="77" t="n"/>
      <c r="F73" s="77" t="n"/>
      <c r="G73" s="77" t="n"/>
      <c r="H73" s="77" t="n"/>
    </row>
    <row r="74" ht="15.75" customHeight="1" s="360">
      <c r="A74" s="77" t="n"/>
      <c r="B74" s="77" t="n"/>
      <c r="C74" s="77" t="n"/>
      <c r="D74" s="77" t="n"/>
      <c r="E74" s="77" t="n"/>
      <c r="F74" s="77" t="n"/>
      <c r="G74" s="77" t="n"/>
      <c r="H74" s="77" t="n"/>
    </row>
    <row r="75" ht="15.75" customHeight="1" s="360">
      <c r="A75" s="77" t="n"/>
      <c r="B75" s="77" t="n"/>
      <c r="C75" s="77" t="n"/>
      <c r="D75" s="77" t="n"/>
      <c r="E75" s="77" t="n"/>
      <c r="F75" s="77" t="n"/>
      <c r="G75" s="77" t="n"/>
      <c r="H75" s="77" t="n"/>
    </row>
    <row r="76" ht="15.75" customHeight="1" s="360">
      <c r="A76" s="77" t="n"/>
      <c r="B76" s="77" t="n"/>
      <c r="C76" s="77" t="n"/>
      <c r="D76" s="77" t="n"/>
      <c r="E76" s="77" t="n"/>
      <c r="F76" s="77" t="n"/>
      <c r="G76" s="77" t="n"/>
      <c r="H76" s="77" t="n"/>
    </row>
    <row r="77" ht="15.75" customHeight="1" s="360">
      <c r="A77" s="77" t="n"/>
      <c r="B77" s="77" t="n"/>
      <c r="C77" s="77" t="n"/>
      <c r="D77" s="77" t="n"/>
      <c r="E77" s="77" t="n"/>
      <c r="F77" s="77" t="n"/>
      <c r="G77" s="77" t="n"/>
      <c r="H77" s="77" t="n"/>
    </row>
    <row r="78" ht="15.75" customHeight="1" s="360">
      <c r="A78" s="77" t="n"/>
      <c r="B78" s="77" t="n"/>
      <c r="C78" s="77" t="n"/>
      <c r="D78" s="77" t="n"/>
      <c r="E78" s="77" t="n"/>
      <c r="F78" s="77" t="n"/>
      <c r="G78" s="77" t="n"/>
      <c r="H78" s="77" t="n"/>
    </row>
    <row r="79" ht="15.75" customHeight="1" s="360">
      <c r="A79" s="77" t="n"/>
      <c r="B79" s="77" t="n"/>
      <c r="C79" s="77" t="n"/>
      <c r="D79" s="77" t="n"/>
      <c r="E79" s="77" t="n"/>
      <c r="F79" s="77" t="n"/>
      <c r="G79" s="77" t="n"/>
      <c r="H79" s="77" t="n"/>
    </row>
    <row r="80" ht="15.75" customHeight="1" s="360">
      <c r="A80" s="77" t="n"/>
      <c r="B80" s="77" t="n"/>
      <c r="C80" s="77" t="n"/>
      <c r="D80" s="77" t="n"/>
      <c r="E80" s="77" t="n"/>
      <c r="F80" s="77" t="n"/>
      <c r="G80" s="77" t="n"/>
      <c r="H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</row>
    <row r="88" ht="15.75" customHeight="1" s="360">
      <c r="A88" s="77" t="n"/>
      <c r="B88" s="77" t="n"/>
      <c r="C88" s="77" t="n"/>
      <c r="D88" s="77" t="n"/>
      <c r="E88" s="77" t="n"/>
      <c r="F88" s="77" t="n"/>
      <c r="G88" s="77" t="n"/>
      <c r="H88" s="77" t="n"/>
    </row>
    <row r="89" ht="15.75" customHeight="1" s="360">
      <c r="A89" s="77" t="n"/>
      <c r="B89" s="77" t="n"/>
      <c r="C89" s="77" t="n"/>
      <c r="D89" s="77" t="n"/>
      <c r="E89" s="77" t="n"/>
      <c r="F89" s="77" t="n"/>
      <c r="G89" s="77" t="n"/>
      <c r="H89" s="77" t="n"/>
    </row>
    <row r="90" ht="15.75" customHeight="1" s="360">
      <c r="A90" s="77" t="n"/>
      <c r="B90" s="77" t="n"/>
      <c r="C90" s="77" t="n"/>
      <c r="D90" s="77" t="n"/>
      <c r="E90" s="77" t="n"/>
      <c r="F90" s="77" t="n"/>
      <c r="G90" s="77" t="n"/>
      <c r="H90" s="77" t="n"/>
    </row>
    <row r="91" ht="15.75" customHeight="1" s="360">
      <c r="A91" s="77" t="n"/>
      <c r="B91" s="77" t="n"/>
      <c r="C91" s="77" t="n"/>
      <c r="D91" s="77" t="n"/>
      <c r="E91" s="77" t="n"/>
      <c r="F91" s="77" t="n"/>
      <c r="G91" s="77" t="n"/>
      <c r="H91" s="77" t="n"/>
    </row>
    <row r="92" ht="15.75" customHeight="1" s="360">
      <c r="A92" s="77" t="n"/>
      <c r="B92" s="77" t="n"/>
      <c r="C92" s="77" t="n"/>
      <c r="D92" s="77" t="n"/>
      <c r="E92" s="77" t="n"/>
      <c r="F92" s="77" t="n"/>
      <c r="G92" s="77" t="n"/>
      <c r="H92" s="77" t="n"/>
    </row>
    <row r="93" ht="15.75" customHeight="1" s="360">
      <c r="A93" s="77" t="n"/>
      <c r="B93" s="77" t="n"/>
      <c r="C93" s="77" t="n"/>
      <c r="D93" s="77" t="n"/>
      <c r="E93" s="77" t="n"/>
      <c r="F93" s="77" t="n"/>
      <c r="G93" s="77" t="n"/>
      <c r="H93" s="77" t="n"/>
    </row>
    <row r="94" ht="15.75" customHeight="1" s="360">
      <c r="A94" s="77" t="n"/>
      <c r="B94" s="77" t="n"/>
      <c r="C94" s="77" t="n"/>
      <c r="D94" s="77" t="n"/>
      <c r="E94" s="77" t="n"/>
      <c r="F94" s="77" t="n"/>
      <c r="G94" s="77" t="n"/>
      <c r="H94" s="77" t="n"/>
    </row>
    <row r="95" ht="15.75" customHeight="1" s="360">
      <c r="A95" s="77" t="n"/>
      <c r="B95" s="77" t="n"/>
      <c r="C95" s="77" t="n"/>
      <c r="D95" s="77" t="n"/>
      <c r="E95" s="77" t="n"/>
      <c r="F95" s="77" t="n"/>
      <c r="G95" s="77" t="n"/>
      <c r="H95" s="77" t="n"/>
    </row>
    <row r="96" ht="15.75" customHeight="1" s="360">
      <c r="A96" s="77" t="n"/>
      <c r="B96" s="77" t="n"/>
      <c r="C96" s="77" t="n"/>
      <c r="D96" s="77" t="n"/>
      <c r="E96" s="77" t="n"/>
      <c r="F96" s="77" t="n"/>
      <c r="G96" s="77" t="n"/>
      <c r="H96" s="77" t="n"/>
    </row>
    <row r="97" ht="15.75" customHeight="1" s="360">
      <c r="A97" s="77" t="n"/>
      <c r="B97" s="77" t="n"/>
      <c r="C97" s="77" t="n"/>
      <c r="D97" s="77" t="n"/>
      <c r="E97" s="77" t="n"/>
      <c r="F97" s="77" t="n"/>
      <c r="G97" s="77" t="n"/>
      <c r="H97" s="77" t="n"/>
    </row>
    <row r="98" ht="15.75" customHeight="1" s="360">
      <c r="A98" s="77" t="n"/>
      <c r="B98" s="77" t="n"/>
      <c r="C98" s="77" t="n"/>
      <c r="D98" s="77" t="n"/>
      <c r="E98" s="77" t="n"/>
      <c r="F98" s="77" t="n"/>
      <c r="G98" s="77" t="n"/>
      <c r="H98" s="77" t="n"/>
    </row>
    <row r="99" ht="15.75" customHeight="1" s="360">
      <c r="A99" s="77" t="n"/>
      <c r="B99" s="77" t="n"/>
      <c r="C99" s="77" t="n"/>
      <c r="D99" s="77" t="n"/>
      <c r="E99" s="77" t="n"/>
      <c r="F99" s="77" t="n"/>
      <c r="G99" s="77" t="n"/>
      <c r="H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  <c r="G126" s="77" t="n"/>
      <c r="H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  <c r="G127" s="77" t="n"/>
      <c r="H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  <c r="G128" s="77" t="n"/>
      <c r="H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  <c r="G129" s="77" t="n"/>
      <c r="H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  <c r="G130" s="77" t="n"/>
      <c r="H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  <c r="G131" s="77" t="n"/>
      <c r="H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  <c r="G151" s="77" t="n"/>
      <c r="H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  <c r="G152" s="77" t="n"/>
      <c r="H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  <c r="G153" s="77" t="n"/>
      <c r="H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  <c r="G154" s="77" t="n"/>
      <c r="H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  <c r="G155" s="77" t="n"/>
      <c r="H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  <c r="G156" s="77" t="n"/>
      <c r="H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  <c r="G157" s="77" t="n"/>
      <c r="H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</row>
  </sheetData>
  <mergeCells count="2">
    <mergeCell ref="B1:H1"/>
    <mergeCell ref="B2:H2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" customWidth="1" style="360" min="1" max="1"/>
    <col width="26" customWidth="1" style="360" min="2" max="2"/>
    <col width="22" customWidth="1" style="360" min="3" max="4"/>
    <col width="20" customWidth="1" style="360" min="5" max="5"/>
    <col width="22" customWidth="1" style="360" min="6" max="6"/>
    <col width="8.630000000000001" customWidth="1" style="360" min="7" max="26"/>
  </cols>
  <sheetData>
    <row r="1" ht="27.75" customHeight="1" s="360">
      <c r="A1" s="77" t="n"/>
      <c r="B1" s="381" t="inlineStr">
        <is>
          <t>PlasHub — Modelo Comercial Interno | Roles, Precios y Distribución entre Socios</t>
        </is>
      </c>
    </row>
    <row r="2" ht="24.75" customHeight="1" s="360">
      <c r="A2" s="77" t="n"/>
      <c r="B2" s="165" t="inlineStr">
        <is>
          <t>Alex es simultáneamente proveedor, cliente y socio. Esta hoja define la estructura para evitar conflictos de precio y documenta acuerdos de governance.</t>
        </is>
      </c>
    </row>
    <row r="3">
      <c r="A3" s="77" t="n"/>
      <c r="B3" s="77" t="n"/>
      <c r="C3" s="77" t="n"/>
      <c r="D3" s="77" t="n"/>
      <c r="E3" s="77" t="n"/>
      <c r="F3" s="77" t="n"/>
    </row>
    <row r="4" ht="21.75" customHeight="1" s="360">
      <c r="A4" s="77" t="n"/>
      <c r="B4" s="382" t="inlineStr">
        <is>
          <t>A. COMPARACIÓN DE MODELOS COMERCIALES</t>
        </is>
      </c>
    </row>
    <row r="5" ht="39.75" customHeight="1" s="360">
      <c r="A5" s="77" t="n"/>
      <c r="B5" s="103" t="inlineStr">
        <is>
          <t>Dimensión</t>
        </is>
      </c>
      <c r="C5" s="103" t="inlineStr">
        <is>
          <t>Modelo A — PlasHub compra y vende</t>
        </is>
      </c>
      <c r="D5" s="103" t="inlineStr">
        <is>
          <t>Modelo B — Fee de servicio/ton</t>
        </is>
      </c>
      <c r="E5" s="103" t="inlineStr">
        <is>
          <t>Veredicto A</t>
        </is>
      </c>
      <c r="F5" s="103" t="inlineStr">
        <is>
          <t>Veredicto B</t>
        </is>
      </c>
    </row>
    <row r="6" ht="49.5" customHeight="1" s="360">
      <c r="A6" s="77" t="n"/>
      <c r="B6" s="120" t="inlineStr">
        <is>
          <t>Descripción</t>
        </is>
      </c>
      <c r="C6" s="120" t="inlineStr">
        <is>
          <t>PlasHub compra a Alex a precio de mercado y vende al cliente. Captura margen completo.</t>
        </is>
      </c>
      <c r="D6" s="120" t="inlineStr">
        <is>
          <t>Alex vende al cliente. PlasHub cobra $15-35/ton por consolidar y despachar.</t>
        </is>
      </c>
      <c r="E6" s="183" t="inlineStr">
        <is>
          <t>✅ Claro, trazable</t>
        </is>
      </c>
      <c r="F6" s="183" t="inlineStr">
        <is>
          <t>⚠ Complejo</t>
        </is>
      </c>
    </row>
    <row r="7" ht="49.5" customHeight="1" s="360">
      <c r="A7" s="77" t="n"/>
      <c r="B7" s="110" t="inlineStr">
        <is>
          <t>Ingresos PlasHub (100 t/mes)</t>
        </is>
      </c>
      <c r="C7" s="110" t="inlineStr">
        <is>
          <t>100t × $118/t = $11,800/mes margen bruto</t>
        </is>
      </c>
      <c r="D7" s="110" t="inlineStr">
        <is>
          <t>100t × $25/t = $2,500/mes (fee)</t>
        </is>
      </c>
      <c r="E7" s="184" t="inlineStr">
        <is>
          <t>✅ Cubre OPEX</t>
        </is>
      </c>
      <c r="F7" s="184" t="inlineStr">
        <is>
          <t>🔴 No cubre OPEX</t>
        </is>
      </c>
    </row>
    <row r="8" ht="49.5" customHeight="1" s="360">
      <c r="A8" s="77" t="n"/>
      <c r="B8" s="120" t="inlineStr">
        <is>
          <t>¿Cubre OPEX ~$9,100/mes?</t>
        </is>
      </c>
      <c r="C8" s="120" t="inlineStr">
        <is>
          <t>Sí — desde ~86 t/mes</t>
        </is>
      </c>
      <c r="D8" s="120" t="inlineStr">
        <is>
          <t>No — necesitaría &gt;$36/t de fee</t>
        </is>
      </c>
      <c r="E8" s="183" t="inlineStr">
        <is>
          <t>✅</t>
        </is>
      </c>
      <c r="F8" s="183" t="inlineStr">
        <is>
          <t>🔴 No viable Stage 1</t>
        </is>
      </c>
    </row>
    <row r="9" ht="49.5" customHeight="1" s="360">
      <c r="A9" s="77" t="n"/>
      <c r="B9" s="110" t="inlineStr">
        <is>
          <t>Compatibilidad EC-RS</t>
        </is>
      </c>
      <c r="C9" s="110" t="inlineStr">
        <is>
          <t>PlasHub es el comercializador. EC-RS aplica directamente.</t>
        </is>
      </c>
      <c r="D9" s="110" t="inlineStr">
        <is>
          <t>¿Quién es el comercializador? Riesgo observación MINAM.</t>
        </is>
      </c>
      <c r="E9" s="184" t="inlineStr">
        <is>
          <t>✅ Alineado con EC-RS</t>
        </is>
      </c>
      <c r="F9" s="184" t="inlineStr">
        <is>
          <t>⚠ Revisar legal</t>
        </is>
      </c>
    </row>
    <row r="10" ht="49.5" customHeight="1" s="360">
      <c r="A10" s="77" t="n"/>
      <c r="B10" s="120" t="inlineStr">
        <is>
          <t>IGV en compras</t>
        </is>
      </c>
      <c r="C10" s="120" t="inlineStr">
        <is>
          <t>PlasHub recupera IGV de compras como crédito fiscal (régimen RMT).</t>
        </is>
      </c>
      <c r="D10" s="120" t="inlineStr">
        <is>
          <t>Sin compras propias. Sin crédito fiscal IGV.</t>
        </is>
      </c>
      <c r="E10" s="183" t="inlineStr">
        <is>
          <t>✅ Beneficio fiscal</t>
        </is>
      </c>
      <c r="F10" s="183" t="inlineStr">
        <is>
          <t>⚠ Sin beneficio</t>
        </is>
      </c>
    </row>
    <row r="11" ht="49.5" customHeight="1" s="360">
      <c r="A11" s="77" t="n"/>
      <c r="B11" s="110" t="inlineStr">
        <is>
          <t>Capital de trabajo</t>
        </is>
      </c>
      <c r="C11" s="110" t="inlineStr">
        <is>
          <t>Alto: paga al proveedor 30-45 días antes de cobrar al cliente.</t>
        </is>
      </c>
      <c r="D11" s="110" t="inlineStr">
        <is>
          <t>Bajo: no compra material.</t>
        </is>
      </c>
      <c r="E11" s="184" t="inlineStr">
        <is>
          <t>⚠ Requiere capital</t>
        </is>
      </c>
      <c r="F11" s="184" t="inlineStr">
        <is>
          <t>✅ Bajo riesgo</t>
        </is>
      </c>
    </row>
    <row r="12" ht="49.5" customHeight="1" s="360">
      <c r="A12" s="77" t="n"/>
      <c r="B12" s="120" t="inlineStr">
        <is>
          <t>Atractivo para inversores</t>
        </is>
      </c>
      <c r="C12" s="120" t="inlineStr">
        <is>
          <t>Alto: margen trading visible, modelo escalable a otros clientes.</t>
        </is>
      </c>
      <c r="D12" s="120" t="inlineStr">
        <is>
          <t>Bajo: márgenes mínimos, dependencia total de Alex.</t>
        </is>
      </c>
      <c r="E12" s="183" t="inlineStr">
        <is>
          <t>✅ Preferido</t>
        </is>
      </c>
      <c r="F12" s="183" t="inlineStr">
        <is>
          <t>🔴 Difícil financiar</t>
        </is>
      </c>
    </row>
    <row r="13" ht="49.5" customHeight="1" s="360">
      <c r="A13" s="77" t="n"/>
      <c r="B13" s="124" t="inlineStr">
        <is>
          <t>RECOMENDACIÓN FINAL</t>
        </is>
      </c>
      <c r="C13" s="124" t="inlineStr">
        <is>
          <t>✅ MODELO RECOMENDADO para Stage 1 y Stage 2.</t>
        </is>
      </c>
      <c r="D13" s="124" t="inlineStr">
        <is>
          <t>❌ No viable Stage 1.</t>
        </is>
      </c>
      <c r="E13" s="185" t="inlineStr">
        <is>
          <t>🟢 IMPLEMENTAR</t>
        </is>
      </c>
      <c r="F13" s="185" t="inlineStr">
        <is>
          <t>🔴 DESCARTAR</t>
        </is>
      </c>
    </row>
    <row r="14">
      <c r="A14" s="77" t="n"/>
      <c r="B14" s="77" t="n"/>
      <c r="C14" s="77" t="n"/>
      <c r="D14" s="77" t="n"/>
      <c r="E14" s="77" t="n"/>
      <c r="F14" s="77" t="n"/>
    </row>
    <row r="15">
      <c r="A15" s="77" t="n"/>
      <c r="B15" s="77" t="n"/>
      <c r="C15" s="77" t="n"/>
      <c r="D15" s="77" t="n"/>
      <c r="E15" s="77" t="n"/>
      <c r="F15" s="77" t="n"/>
    </row>
    <row r="16" ht="21.75" customHeight="1" s="360">
      <c r="A16" s="77" t="n"/>
      <c r="B16" s="382" t="inlineStr">
        <is>
          <t>B. GOVERNANCE Y DISTRIBUCIÓN ENTRE SOCIOS</t>
        </is>
      </c>
    </row>
    <row r="17" ht="34.5" customHeight="1" s="360">
      <c r="A17" s="77" t="n"/>
      <c r="B17" s="103" t="inlineStr">
        <is>
          <t>Aspecto</t>
        </is>
      </c>
      <c r="C17" s="103" t="inlineStr">
        <is>
          <t>Definición</t>
        </is>
      </c>
      <c r="D17" s="103" t="inlineStr">
        <is>
          <t>Justificación</t>
        </is>
      </c>
      <c r="E17" s="103" t="inlineStr">
        <is>
          <t>Documentación / acción requerida</t>
        </is>
      </c>
    </row>
    <row r="18" ht="60" customHeight="1" s="360">
      <c r="A18" s="77" t="n"/>
      <c r="B18" s="157" t="inlineStr">
        <is>
          <t>Participación accionaria</t>
        </is>
      </c>
      <c r="C18" s="187" t="inlineStr">
        <is>
          <t>Alex: 60% | Raúl: 40%</t>
        </is>
      </c>
      <c r="D18" s="174" t="inlineStr">
        <is>
          <t>Alex aporta $15K + flujo comercial. Raúl aporta operación y gestión del proyecto.</t>
        </is>
      </c>
      <c r="E18" s="389" t="inlineStr">
        <is>
          <t>Formalizar en Estatuto SAC ante SUNARP. Registrar antes de primera operación.</t>
        </is>
      </c>
    </row>
    <row r="19" ht="60" customHeight="1" s="360">
      <c r="A19" s="77" t="n"/>
      <c r="B19" s="104" t="inlineStr">
        <is>
          <t>Salario Raúl Stage 1</t>
        </is>
      </c>
      <c r="C19" s="189" t="inlineStr">
        <is>
          <t>S/3,500–4,500/mes (desde EBITDA ≥ 0 por 2 meses consecutivos)</t>
        </is>
      </c>
      <c r="D19" s="179" t="inlineStr">
        <is>
          <t>No pagar salario antes de EBITDA positivo. Considera anticipo reembolsable.</t>
        </is>
      </c>
      <c r="E19" s="190" t="inlineStr">
        <is>
          <t>Incluir en pacto de socios: condición inicio salario.</t>
        </is>
      </c>
    </row>
    <row r="20" ht="60" customHeight="1" s="360">
      <c r="A20" s="77" t="n"/>
      <c r="B20" s="157" t="inlineStr">
        <is>
          <t>Precio de transferencia</t>
        </is>
      </c>
      <c r="C20" s="187" t="inlineStr">
        <is>
          <t>Precio de mercado verificable</t>
        </is>
      </c>
      <c r="D20" s="174" t="inlineStr">
        <is>
          <t>Alex → PlasHub: precio de mercado. NUNCA precio artificial.</t>
        </is>
      </c>
      <c r="E20" s="389" t="inlineStr">
        <is>
          <t>🔴 RIESGO FISCAL: SUNAT ajusta precios entre partes vinculadas. Documentar con facturas de mercado.</t>
        </is>
      </c>
    </row>
    <row r="21" ht="60" customHeight="1" s="360">
      <c r="A21" s="77" t="n"/>
      <c r="B21" s="104" t="inlineStr">
        <is>
          <t>Dividendos</t>
        </is>
      </c>
      <c r="C21" s="189" t="inlineStr">
        <is>
          <t>Solo después de recuperar CAPEX</t>
        </is>
      </c>
      <c r="D21" s="179" t="inlineStr">
        <is>
          <t>No distribuir hasta EBITDA acumulado &gt; CAPEX invertido.</t>
        </is>
      </c>
      <c r="E21" s="190" t="inlineStr">
        <is>
          <t>Formalizar en pacto de socios: reserva 30% utilidades para reinversión.</t>
        </is>
      </c>
    </row>
    <row r="22" ht="60" customHeight="1" s="360">
      <c r="A22" s="77" t="n"/>
      <c r="B22" s="157" t="inlineStr">
        <is>
          <t>Régimen tributario</t>
        </is>
      </c>
      <c r="C22" s="187" t="inlineStr">
        <is>
          <t>Régimen MYPE Tributario (RMT)</t>
        </is>
      </c>
      <c r="D22" s="174" t="inlineStr">
        <is>
          <t>Ventas año 1: $300-500K &gt;&gt; límite RER (~$140K). RMT obligatorio.</t>
        </is>
      </c>
      <c r="E22" s="389" t="inlineStr">
        <is>
          <t>🔴 ACCIÓN INMEDIATA: verificar régimen en SUNAT. Cambiar a RMT ANTES de primera venta.</t>
        </is>
      </c>
    </row>
    <row r="23" ht="60" customHeight="1" s="360">
      <c r="A23" s="77" t="n"/>
      <c r="B23" s="104" t="inlineStr">
        <is>
          <t>Pacto de socios</t>
        </is>
      </c>
      <c r="C23" s="189" t="inlineStr">
        <is>
          <t>Documento notarial obligatorio</t>
        </is>
      </c>
      <c r="D23" s="179" t="inlineStr">
        <is>
          <t>Equity, política dividendos, precio transferencia, resolución conflictos.</t>
        </is>
      </c>
      <c r="E23" s="190" t="inlineStr">
        <is>
          <t>Costo: S/500-1,000 (notaría) + S/1,500-3,000 (abogado). Firmar antes de primera operación.</t>
        </is>
      </c>
    </row>
    <row r="24" ht="15.75" customHeight="1" s="360">
      <c r="A24" s="77" t="n"/>
      <c r="B24" s="77" t="n"/>
      <c r="C24" s="77" t="n"/>
      <c r="D24" s="77" t="n"/>
      <c r="E24" s="77" t="n"/>
      <c r="F24" s="77" t="n"/>
    </row>
    <row r="25" ht="15.75" customHeight="1" s="360">
      <c r="A25" s="77" t="n"/>
      <c r="B25" s="77" t="n"/>
      <c r="C25" s="77" t="n"/>
      <c r="D25" s="77" t="n"/>
      <c r="E25" s="77" t="n"/>
      <c r="F25" s="77" t="n"/>
    </row>
    <row r="26" ht="15.75" customHeight="1" s="360">
      <c r="A26" s="77" t="n"/>
      <c r="B26" s="77" t="n"/>
      <c r="C26" s="77" t="n"/>
      <c r="D26" s="77" t="n"/>
      <c r="E26" s="77" t="n"/>
      <c r="F26" s="77" t="n"/>
    </row>
    <row r="27" ht="15.75" customHeight="1" s="360">
      <c r="A27" s="77" t="n"/>
      <c r="B27" s="77" t="n"/>
      <c r="C27" s="77" t="n"/>
      <c r="D27" s="77" t="n"/>
      <c r="E27" s="77" t="n"/>
      <c r="F27" s="77" t="n"/>
    </row>
    <row r="28" ht="15.75" customHeight="1" s="360">
      <c r="A28" s="77" t="n"/>
      <c r="B28" s="77" t="n"/>
      <c r="C28" s="77" t="n"/>
      <c r="D28" s="77" t="n"/>
      <c r="E28" s="77" t="n"/>
      <c r="F28" s="77" t="n"/>
    </row>
    <row r="29" ht="15.75" customHeight="1" s="360">
      <c r="A29" s="77" t="n"/>
      <c r="B29" s="77" t="n"/>
      <c r="C29" s="77" t="n"/>
      <c r="D29" s="77" t="n"/>
      <c r="E29" s="77" t="n"/>
      <c r="F29" s="77" t="n"/>
    </row>
    <row r="30" ht="15.75" customHeight="1" s="360">
      <c r="A30" s="77" t="n"/>
      <c r="B30" s="77" t="n"/>
      <c r="C30" s="77" t="n"/>
      <c r="D30" s="77" t="n"/>
      <c r="E30" s="77" t="n"/>
      <c r="F30" s="77" t="n"/>
    </row>
    <row r="31" ht="15.75" customHeight="1" s="360">
      <c r="A31" s="77" t="n"/>
      <c r="B31" s="77" t="n"/>
      <c r="C31" s="77" t="n"/>
      <c r="D31" s="77" t="n"/>
      <c r="E31" s="77" t="n"/>
      <c r="F31" s="77" t="n"/>
    </row>
    <row r="32" ht="15.75" customHeight="1" s="360">
      <c r="A32" s="77" t="n"/>
      <c r="B32" s="77" t="n"/>
      <c r="C32" s="77" t="n"/>
      <c r="D32" s="77" t="n"/>
      <c r="E32" s="77" t="n"/>
      <c r="F32" s="77" t="n"/>
    </row>
    <row r="33" ht="15.75" customHeight="1" s="360">
      <c r="A33" s="77" t="n"/>
      <c r="B33" s="77" t="n"/>
      <c r="C33" s="77" t="n"/>
      <c r="D33" s="77" t="n"/>
      <c r="E33" s="77" t="n"/>
      <c r="F33" s="77" t="n"/>
    </row>
    <row r="34" ht="15.75" customHeight="1" s="360">
      <c r="A34" s="77" t="n"/>
      <c r="B34" s="77" t="n"/>
      <c r="C34" s="77" t="n"/>
      <c r="D34" s="77" t="n"/>
      <c r="E34" s="77" t="n"/>
      <c r="F34" s="77" t="n"/>
    </row>
    <row r="35" ht="15.75" customHeight="1" s="360">
      <c r="A35" s="77" t="n"/>
      <c r="B35" s="77" t="n"/>
      <c r="C35" s="77" t="n"/>
      <c r="D35" s="77" t="n"/>
      <c r="E35" s="77" t="n"/>
      <c r="F35" s="77" t="n"/>
    </row>
    <row r="36" ht="15.75" customHeight="1" s="360">
      <c r="A36" s="77" t="n"/>
      <c r="B36" s="77" t="n"/>
      <c r="C36" s="77" t="n"/>
      <c r="D36" s="77" t="n"/>
      <c r="E36" s="77" t="n"/>
      <c r="F36" s="77" t="n"/>
    </row>
    <row r="37" ht="15.75" customHeight="1" s="360">
      <c r="A37" s="77" t="n"/>
      <c r="B37" s="77" t="n"/>
      <c r="C37" s="77" t="n"/>
      <c r="D37" s="77" t="n"/>
      <c r="E37" s="77" t="n"/>
      <c r="F37" s="77" t="n"/>
    </row>
    <row r="38" ht="15.75" customHeight="1" s="360">
      <c r="A38" s="77" t="n"/>
      <c r="B38" s="77" t="n"/>
      <c r="C38" s="77" t="n"/>
      <c r="D38" s="77" t="n"/>
      <c r="E38" s="77" t="n"/>
      <c r="F38" s="77" t="n"/>
    </row>
    <row r="39" ht="15.75" customHeight="1" s="360">
      <c r="A39" s="77" t="n"/>
      <c r="B39" s="77" t="n"/>
      <c r="C39" s="77" t="n"/>
      <c r="D39" s="77" t="n"/>
      <c r="E39" s="77" t="n"/>
      <c r="F39" s="77" t="n"/>
    </row>
    <row r="40" ht="15.75" customHeight="1" s="360">
      <c r="A40" s="77" t="n"/>
      <c r="B40" s="77" t="n"/>
      <c r="C40" s="77" t="n"/>
      <c r="D40" s="77" t="n"/>
      <c r="E40" s="77" t="n"/>
      <c r="F40" s="77" t="n"/>
    </row>
    <row r="41" ht="15.75" customHeight="1" s="360">
      <c r="A41" s="77" t="n"/>
      <c r="B41" s="77" t="n"/>
      <c r="C41" s="77" t="n"/>
      <c r="D41" s="77" t="n"/>
      <c r="E41" s="77" t="n"/>
      <c r="F41" s="77" t="n"/>
    </row>
    <row r="42" ht="15.75" customHeight="1" s="360">
      <c r="A42" s="77" t="n"/>
      <c r="B42" s="77" t="n"/>
      <c r="C42" s="77" t="n"/>
      <c r="D42" s="77" t="n"/>
      <c r="E42" s="77" t="n"/>
      <c r="F42" s="77" t="n"/>
    </row>
    <row r="43" ht="15.75" customHeight="1" s="360">
      <c r="A43" s="77" t="n"/>
      <c r="B43" s="77" t="n"/>
      <c r="C43" s="77" t="n"/>
      <c r="D43" s="77" t="n"/>
      <c r="E43" s="77" t="n"/>
      <c r="F43" s="77" t="n"/>
    </row>
    <row r="44" ht="15.75" customHeight="1" s="360">
      <c r="A44" s="77" t="n"/>
      <c r="B44" s="77" t="n"/>
      <c r="C44" s="77" t="n"/>
      <c r="D44" s="77" t="n"/>
      <c r="E44" s="77" t="n"/>
      <c r="F44" s="77" t="n"/>
    </row>
    <row r="45" ht="15.75" customHeight="1" s="360">
      <c r="A45" s="77" t="n"/>
      <c r="B45" s="77" t="n"/>
      <c r="C45" s="77" t="n"/>
      <c r="D45" s="77" t="n"/>
      <c r="E45" s="77" t="n"/>
      <c r="F45" s="77" t="n"/>
    </row>
    <row r="46" ht="15.75" customHeight="1" s="360">
      <c r="A46" s="77" t="n"/>
      <c r="B46" s="77" t="n"/>
      <c r="C46" s="77" t="n"/>
      <c r="D46" s="77" t="n"/>
      <c r="E46" s="77" t="n"/>
      <c r="F46" s="77" t="n"/>
    </row>
    <row r="47" ht="15.75" customHeight="1" s="360">
      <c r="A47" s="77" t="n"/>
      <c r="B47" s="77" t="n"/>
      <c r="C47" s="77" t="n"/>
      <c r="D47" s="77" t="n"/>
      <c r="E47" s="77" t="n"/>
      <c r="F47" s="77" t="n"/>
    </row>
    <row r="48" ht="15.75" customHeight="1" s="360">
      <c r="A48" s="77" t="n"/>
      <c r="B48" s="77" t="n"/>
      <c r="C48" s="77" t="n"/>
      <c r="D48" s="77" t="n"/>
      <c r="E48" s="77" t="n"/>
      <c r="F48" s="77" t="n"/>
    </row>
    <row r="49" ht="15.75" customHeight="1" s="360">
      <c r="A49" s="77" t="n"/>
      <c r="B49" s="77" t="n"/>
      <c r="C49" s="77" t="n"/>
      <c r="D49" s="77" t="n"/>
      <c r="E49" s="77" t="n"/>
      <c r="F49" s="77" t="n"/>
    </row>
    <row r="50" ht="15.75" customHeight="1" s="360">
      <c r="A50" s="77" t="n"/>
      <c r="B50" s="77" t="n"/>
      <c r="C50" s="77" t="n"/>
      <c r="D50" s="77" t="n"/>
      <c r="E50" s="77" t="n"/>
      <c r="F50" s="77" t="n"/>
    </row>
    <row r="51" ht="15.75" customHeight="1" s="360">
      <c r="A51" s="77" t="n"/>
      <c r="B51" s="77" t="n"/>
      <c r="C51" s="77" t="n"/>
      <c r="D51" s="77" t="n"/>
      <c r="E51" s="77" t="n"/>
      <c r="F51" s="77" t="n"/>
    </row>
    <row r="52" ht="15.75" customHeight="1" s="360">
      <c r="A52" s="77" t="n"/>
      <c r="B52" s="77" t="n"/>
      <c r="C52" s="77" t="n"/>
      <c r="D52" s="77" t="n"/>
      <c r="E52" s="77" t="n"/>
      <c r="F52" s="77" t="n"/>
    </row>
    <row r="53" ht="15.75" customHeight="1" s="360">
      <c r="A53" s="77" t="n"/>
      <c r="B53" s="77" t="n"/>
      <c r="C53" s="77" t="n"/>
      <c r="D53" s="77" t="n"/>
      <c r="E53" s="77" t="n"/>
      <c r="F53" s="77" t="n"/>
    </row>
    <row r="54" ht="15.75" customHeight="1" s="360">
      <c r="A54" s="77" t="n"/>
      <c r="B54" s="77" t="n"/>
      <c r="C54" s="77" t="n"/>
      <c r="D54" s="77" t="n"/>
      <c r="E54" s="77" t="n"/>
      <c r="F54" s="77" t="n"/>
    </row>
    <row r="55" ht="15.75" customHeight="1" s="360">
      <c r="A55" s="77" t="n"/>
      <c r="B55" s="77" t="n"/>
      <c r="C55" s="77" t="n"/>
      <c r="D55" s="77" t="n"/>
      <c r="E55" s="77" t="n"/>
      <c r="F55" s="77" t="n"/>
    </row>
    <row r="56" ht="15.75" customHeight="1" s="360">
      <c r="A56" s="77" t="n"/>
      <c r="B56" s="77" t="n"/>
      <c r="C56" s="77" t="n"/>
      <c r="D56" s="77" t="n"/>
      <c r="E56" s="77" t="n"/>
      <c r="F56" s="77" t="n"/>
    </row>
    <row r="57" ht="15.75" customHeight="1" s="360">
      <c r="A57" s="77" t="n"/>
      <c r="B57" s="77" t="n"/>
      <c r="C57" s="77" t="n"/>
      <c r="D57" s="77" t="n"/>
      <c r="E57" s="77" t="n"/>
      <c r="F57" s="77" t="n"/>
    </row>
    <row r="58" ht="15.75" customHeight="1" s="360">
      <c r="A58" s="77" t="n"/>
      <c r="B58" s="77" t="n"/>
      <c r="C58" s="77" t="n"/>
      <c r="D58" s="77" t="n"/>
      <c r="E58" s="77" t="n"/>
      <c r="F58" s="77" t="n"/>
    </row>
    <row r="59" ht="15.75" customHeight="1" s="360">
      <c r="A59" s="77" t="n"/>
      <c r="B59" s="77" t="n"/>
      <c r="C59" s="77" t="n"/>
      <c r="D59" s="77" t="n"/>
      <c r="E59" s="77" t="n"/>
      <c r="F59" s="77" t="n"/>
    </row>
    <row r="60" ht="15.75" customHeight="1" s="360">
      <c r="A60" s="77" t="n"/>
      <c r="B60" s="77" t="n"/>
      <c r="C60" s="77" t="n"/>
      <c r="D60" s="77" t="n"/>
      <c r="E60" s="77" t="n"/>
      <c r="F60" s="77" t="n"/>
    </row>
    <row r="61" ht="15.75" customHeight="1" s="360">
      <c r="A61" s="77" t="n"/>
      <c r="B61" s="77" t="n"/>
      <c r="C61" s="77" t="n"/>
      <c r="D61" s="77" t="n"/>
      <c r="E61" s="77" t="n"/>
      <c r="F61" s="77" t="n"/>
    </row>
    <row r="62" ht="15.75" customHeight="1" s="360">
      <c r="A62" s="77" t="n"/>
      <c r="B62" s="77" t="n"/>
      <c r="C62" s="77" t="n"/>
      <c r="D62" s="77" t="n"/>
      <c r="E62" s="77" t="n"/>
      <c r="F62" s="77" t="n"/>
    </row>
    <row r="63" ht="15.75" customHeight="1" s="360">
      <c r="A63" s="77" t="n"/>
      <c r="B63" s="77" t="n"/>
      <c r="C63" s="77" t="n"/>
      <c r="D63" s="77" t="n"/>
      <c r="E63" s="77" t="n"/>
      <c r="F63" s="77" t="n"/>
    </row>
    <row r="64" ht="15.75" customHeight="1" s="360">
      <c r="A64" s="77" t="n"/>
      <c r="B64" s="77" t="n"/>
      <c r="C64" s="77" t="n"/>
      <c r="D64" s="77" t="n"/>
      <c r="E64" s="77" t="n"/>
      <c r="F64" s="77" t="n"/>
    </row>
    <row r="65" ht="15.75" customHeight="1" s="360">
      <c r="A65" s="77" t="n"/>
      <c r="B65" s="77" t="n"/>
      <c r="C65" s="77" t="n"/>
      <c r="D65" s="77" t="n"/>
      <c r="E65" s="77" t="n"/>
      <c r="F65" s="77" t="n"/>
    </row>
    <row r="66" ht="15.75" customHeight="1" s="360">
      <c r="A66" s="77" t="n"/>
      <c r="B66" s="77" t="n"/>
      <c r="C66" s="77" t="n"/>
      <c r="D66" s="77" t="n"/>
      <c r="E66" s="77" t="n"/>
      <c r="F66" s="77" t="n"/>
    </row>
    <row r="67" ht="15.75" customHeight="1" s="360">
      <c r="A67" s="77" t="n"/>
      <c r="B67" s="77" t="n"/>
      <c r="C67" s="77" t="n"/>
      <c r="D67" s="77" t="n"/>
      <c r="E67" s="77" t="n"/>
      <c r="F67" s="77" t="n"/>
    </row>
    <row r="68" ht="15.75" customHeight="1" s="360">
      <c r="A68" s="77" t="n"/>
      <c r="B68" s="77" t="n"/>
      <c r="C68" s="77" t="n"/>
      <c r="D68" s="77" t="n"/>
      <c r="E68" s="77" t="n"/>
      <c r="F68" s="77" t="n"/>
    </row>
    <row r="69" ht="15.75" customHeight="1" s="360">
      <c r="A69" s="77" t="n"/>
      <c r="B69" s="77" t="n"/>
      <c r="C69" s="77" t="n"/>
      <c r="D69" s="77" t="n"/>
      <c r="E69" s="77" t="n"/>
      <c r="F69" s="77" t="n"/>
    </row>
    <row r="70" ht="15.75" customHeight="1" s="360">
      <c r="A70" s="77" t="n"/>
      <c r="B70" s="77" t="n"/>
      <c r="C70" s="77" t="n"/>
      <c r="D70" s="77" t="n"/>
      <c r="E70" s="77" t="n"/>
      <c r="F70" s="77" t="n"/>
    </row>
    <row r="71" ht="15.75" customHeight="1" s="360">
      <c r="A71" s="77" t="n"/>
      <c r="B71" s="77" t="n"/>
      <c r="C71" s="77" t="n"/>
      <c r="D71" s="77" t="n"/>
      <c r="E71" s="77" t="n"/>
      <c r="F71" s="77" t="n"/>
    </row>
    <row r="72" ht="15.75" customHeight="1" s="360">
      <c r="A72" s="77" t="n"/>
      <c r="B72" s="77" t="n"/>
      <c r="C72" s="77" t="n"/>
      <c r="D72" s="77" t="n"/>
      <c r="E72" s="77" t="n"/>
      <c r="F72" s="77" t="n"/>
    </row>
    <row r="73" ht="15.75" customHeight="1" s="360">
      <c r="A73" s="77" t="n"/>
      <c r="B73" s="77" t="n"/>
      <c r="C73" s="77" t="n"/>
      <c r="D73" s="77" t="n"/>
      <c r="E73" s="77" t="n"/>
      <c r="F73" s="77" t="n"/>
    </row>
    <row r="74" ht="15.75" customHeight="1" s="360">
      <c r="A74" s="77" t="n"/>
      <c r="B74" s="77" t="n"/>
      <c r="C74" s="77" t="n"/>
      <c r="D74" s="77" t="n"/>
      <c r="E74" s="77" t="n"/>
      <c r="F74" s="77" t="n"/>
    </row>
    <row r="75" ht="15.75" customHeight="1" s="360">
      <c r="A75" s="77" t="n"/>
      <c r="B75" s="77" t="n"/>
      <c r="C75" s="77" t="n"/>
      <c r="D75" s="77" t="n"/>
      <c r="E75" s="77" t="n"/>
      <c r="F75" s="77" t="n"/>
    </row>
    <row r="76" ht="15.75" customHeight="1" s="360">
      <c r="A76" s="77" t="n"/>
      <c r="B76" s="77" t="n"/>
      <c r="C76" s="77" t="n"/>
      <c r="D76" s="77" t="n"/>
      <c r="E76" s="77" t="n"/>
      <c r="F76" s="77" t="n"/>
    </row>
    <row r="77" ht="15.75" customHeight="1" s="360">
      <c r="A77" s="77" t="n"/>
      <c r="B77" s="77" t="n"/>
      <c r="C77" s="77" t="n"/>
      <c r="D77" s="77" t="n"/>
      <c r="E77" s="77" t="n"/>
      <c r="F77" s="77" t="n"/>
    </row>
    <row r="78" ht="15.75" customHeight="1" s="360">
      <c r="A78" s="77" t="n"/>
      <c r="B78" s="77" t="n"/>
      <c r="C78" s="77" t="n"/>
      <c r="D78" s="77" t="n"/>
      <c r="E78" s="77" t="n"/>
      <c r="F78" s="77" t="n"/>
    </row>
    <row r="79" ht="15.75" customHeight="1" s="360">
      <c r="A79" s="77" t="n"/>
      <c r="B79" s="77" t="n"/>
      <c r="C79" s="77" t="n"/>
      <c r="D79" s="77" t="n"/>
      <c r="E79" s="77" t="n"/>
      <c r="F79" s="77" t="n"/>
    </row>
    <row r="80" ht="15.75" customHeight="1" s="360">
      <c r="A80" s="77" t="n"/>
      <c r="B80" s="77" t="n"/>
      <c r="C80" s="77" t="n"/>
      <c r="D80" s="77" t="n"/>
      <c r="E80" s="77" t="n"/>
      <c r="F80" s="77" t="n"/>
    </row>
    <row r="81" ht="15.75" customHeight="1" s="360">
      <c r="A81" s="77" t="n"/>
      <c r="B81" s="77" t="n"/>
      <c r="C81" s="77" t="n"/>
      <c r="D81" s="77" t="n"/>
      <c r="E81" s="77" t="n"/>
      <c r="F81" s="77" t="n"/>
    </row>
    <row r="82" ht="15.75" customHeight="1" s="360">
      <c r="A82" s="77" t="n"/>
      <c r="B82" s="77" t="n"/>
      <c r="C82" s="77" t="n"/>
      <c r="D82" s="77" t="n"/>
      <c r="E82" s="77" t="n"/>
      <c r="F82" s="77" t="n"/>
    </row>
    <row r="83" ht="15.75" customHeight="1" s="360">
      <c r="A83" s="77" t="n"/>
      <c r="B83" s="77" t="n"/>
      <c r="C83" s="77" t="n"/>
      <c r="D83" s="77" t="n"/>
      <c r="E83" s="77" t="n"/>
      <c r="F83" s="77" t="n"/>
    </row>
    <row r="84" ht="15.75" customHeight="1" s="360">
      <c r="A84" s="77" t="n"/>
      <c r="B84" s="77" t="n"/>
      <c r="C84" s="77" t="n"/>
      <c r="D84" s="77" t="n"/>
      <c r="E84" s="77" t="n"/>
      <c r="F84" s="77" t="n"/>
    </row>
    <row r="85" ht="15.75" customHeight="1" s="360">
      <c r="A85" s="77" t="n"/>
      <c r="B85" s="77" t="n"/>
      <c r="C85" s="77" t="n"/>
      <c r="D85" s="77" t="n"/>
      <c r="E85" s="77" t="n"/>
      <c r="F85" s="77" t="n"/>
    </row>
    <row r="86" ht="15.75" customHeight="1" s="360">
      <c r="A86" s="77" t="n"/>
      <c r="B86" s="77" t="n"/>
      <c r="C86" s="77" t="n"/>
      <c r="D86" s="77" t="n"/>
      <c r="E86" s="77" t="n"/>
      <c r="F86" s="77" t="n"/>
    </row>
    <row r="87" ht="15.75" customHeight="1" s="360">
      <c r="A87" s="77" t="n"/>
      <c r="B87" s="77" t="n"/>
      <c r="C87" s="77" t="n"/>
      <c r="D87" s="77" t="n"/>
      <c r="E87" s="77" t="n"/>
      <c r="F87" s="77" t="n"/>
    </row>
    <row r="88" ht="15.75" customHeight="1" s="360">
      <c r="A88" s="77" t="n"/>
      <c r="B88" s="77" t="n"/>
      <c r="C88" s="77" t="n"/>
      <c r="D88" s="77" t="n"/>
      <c r="E88" s="77" t="n"/>
      <c r="F88" s="77" t="n"/>
    </row>
    <row r="89" ht="15.75" customHeight="1" s="360">
      <c r="A89" s="77" t="n"/>
      <c r="B89" s="77" t="n"/>
      <c r="C89" s="77" t="n"/>
      <c r="D89" s="77" t="n"/>
      <c r="E89" s="77" t="n"/>
      <c r="F89" s="77" t="n"/>
    </row>
    <row r="90" ht="15.75" customHeight="1" s="360">
      <c r="A90" s="77" t="n"/>
      <c r="B90" s="77" t="n"/>
      <c r="C90" s="77" t="n"/>
      <c r="D90" s="77" t="n"/>
      <c r="E90" s="77" t="n"/>
      <c r="F90" s="77" t="n"/>
    </row>
    <row r="91" ht="15.75" customHeight="1" s="360">
      <c r="A91" s="77" t="n"/>
      <c r="B91" s="77" t="n"/>
      <c r="C91" s="77" t="n"/>
      <c r="D91" s="77" t="n"/>
      <c r="E91" s="77" t="n"/>
      <c r="F91" s="77" t="n"/>
    </row>
    <row r="92" ht="15.75" customHeight="1" s="360">
      <c r="A92" s="77" t="n"/>
      <c r="B92" s="77" t="n"/>
      <c r="C92" s="77" t="n"/>
      <c r="D92" s="77" t="n"/>
      <c r="E92" s="77" t="n"/>
      <c r="F92" s="77" t="n"/>
    </row>
    <row r="93" ht="15.75" customHeight="1" s="360">
      <c r="A93" s="77" t="n"/>
      <c r="B93" s="77" t="n"/>
      <c r="C93" s="77" t="n"/>
      <c r="D93" s="77" t="n"/>
      <c r="E93" s="77" t="n"/>
      <c r="F93" s="77" t="n"/>
    </row>
    <row r="94" ht="15.75" customHeight="1" s="360">
      <c r="A94" s="77" t="n"/>
      <c r="B94" s="77" t="n"/>
      <c r="C94" s="77" t="n"/>
      <c r="D94" s="77" t="n"/>
      <c r="E94" s="77" t="n"/>
      <c r="F94" s="77" t="n"/>
    </row>
    <row r="95" ht="15.75" customHeight="1" s="360">
      <c r="A95" s="77" t="n"/>
      <c r="B95" s="77" t="n"/>
      <c r="C95" s="77" t="n"/>
      <c r="D95" s="77" t="n"/>
      <c r="E95" s="77" t="n"/>
      <c r="F95" s="77" t="n"/>
    </row>
    <row r="96" ht="15.75" customHeight="1" s="360">
      <c r="A96" s="77" t="n"/>
      <c r="B96" s="77" t="n"/>
      <c r="C96" s="77" t="n"/>
      <c r="D96" s="77" t="n"/>
      <c r="E96" s="77" t="n"/>
      <c r="F96" s="77" t="n"/>
    </row>
    <row r="97" ht="15.75" customHeight="1" s="360">
      <c r="A97" s="77" t="n"/>
      <c r="B97" s="77" t="n"/>
      <c r="C97" s="77" t="n"/>
      <c r="D97" s="77" t="n"/>
      <c r="E97" s="77" t="n"/>
      <c r="F97" s="77" t="n"/>
    </row>
    <row r="98" ht="15.75" customHeight="1" s="360">
      <c r="A98" s="77" t="n"/>
      <c r="B98" s="77" t="n"/>
      <c r="C98" s="77" t="n"/>
      <c r="D98" s="77" t="n"/>
      <c r="E98" s="77" t="n"/>
      <c r="F98" s="77" t="n"/>
    </row>
    <row r="99" ht="15.75" customHeight="1" s="360">
      <c r="A99" s="77" t="n"/>
      <c r="B99" s="77" t="n"/>
      <c r="C99" s="77" t="n"/>
      <c r="D99" s="77" t="n"/>
      <c r="E99" s="77" t="n"/>
      <c r="F99" s="77" t="n"/>
    </row>
    <row r="100" ht="15.75" customHeight="1" s="360">
      <c r="A100" s="77" t="n"/>
      <c r="B100" s="77" t="n"/>
      <c r="C100" s="77" t="n"/>
      <c r="D100" s="77" t="n"/>
      <c r="E100" s="77" t="n"/>
      <c r="F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</row>
    <row r="126" ht="15.75" customHeight="1" s="360">
      <c r="A126" s="77" t="n"/>
      <c r="B126" s="77" t="n"/>
      <c r="C126" s="77" t="n"/>
      <c r="D126" s="77" t="n"/>
      <c r="E126" s="77" t="n"/>
      <c r="F126" s="77" t="n"/>
    </row>
    <row r="127" ht="15.75" customHeight="1" s="360">
      <c r="A127" s="77" t="n"/>
      <c r="B127" s="77" t="n"/>
      <c r="C127" s="77" t="n"/>
      <c r="D127" s="77" t="n"/>
      <c r="E127" s="77" t="n"/>
      <c r="F127" s="77" t="n"/>
    </row>
    <row r="128" ht="15.75" customHeight="1" s="360">
      <c r="A128" s="77" t="n"/>
      <c r="B128" s="77" t="n"/>
      <c r="C128" s="77" t="n"/>
      <c r="D128" s="77" t="n"/>
      <c r="E128" s="77" t="n"/>
      <c r="F128" s="77" t="n"/>
    </row>
    <row r="129" ht="15.75" customHeight="1" s="360">
      <c r="A129" s="77" t="n"/>
      <c r="B129" s="77" t="n"/>
      <c r="C129" s="77" t="n"/>
      <c r="D129" s="77" t="n"/>
      <c r="E129" s="77" t="n"/>
      <c r="F129" s="77" t="n"/>
    </row>
    <row r="130" ht="15.75" customHeight="1" s="360">
      <c r="A130" s="77" t="n"/>
      <c r="B130" s="77" t="n"/>
      <c r="C130" s="77" t="n"/>
      <c r="D130" s="77" t="n"/>
      <c r="E130" s="77" t="n"/>
      <c r="F130" s="77" t="n"/>
    </row>
    <row r="131" ht="15.75" customHeight="1" s="360">
      <c r="A131" s="77" t="n"/>
      <c r="B131" s="77" t="n"/>
      <c r="C131" s="77" t="n"/>
      <c r="D131" s="77" t="n"/>
      <c r="E131" s="77" t="n"/>
      <c r="F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</row>
    <row r="151" ht="15.75" customHeight="1" s="360">
      <c r="A151" s="77" t="n"/>
      <c r="B151" s="77" t="n"/>
      <c r="C151" s="77" t="n"/>
      <c r="D151" s="77" t="n"/>
      <c r="E151" s="77" t="n"/>
      <c r="F151" s="77" t="n"/>
    </row>
    <row r="152" ht="15.75" customHeight="1" s="360">
      <c r="A152" s="77" t="n"/>
      <c r="B152" s="77" t="n"/>
      <c r="C152" s="77" t="n"/>
      <c r="D152" s="77" t="n"/>
      <c r="E152" s="77" t="n"/>
      <c r="F152" s="77" t="n"/>
    </row>
    <row r="153" ht="15.75" customHeight="1" s="360">
      <c r="A153" s="77" t="n"/>
      <c r="B153" s="77" t="n"/>
      <c r="C153" s="77" t="n"/>
      <c r="D153" s="77" t="n"/>
      <c r="E153" s="77" t="n"/>
      <c r="F153" s="77" t="n"/>
    </row>
    <row r="154" ht="15.75" customHeight="1" s="360">
      <c r="A154" s="77" t="n"/>
      <c r="B154" s="77" t="n"/>
      <c r="C154" s="77" t="n"/>
      <c r="D154" s="77" t="n"/>
      <c r="E154" s="77" t="n"/>
      <c r="F154" s="77" t="n"/>
    </row>
    <row r="155" ht="15.75" customHeight="1" s="360">
      <c r="A155" s="77" t="n"/>
      <c r="B155" s="77" t="n"/>
      <c r="C155" s="77" t="n"/>
      <c r="D155" s="77" t="n"/>
      <c r="E155" s="77" t="n"/>
      <c r="F155" s="77" t="n"/>
    </row>
    <row r="156" ht="15.75" customHeight="1" s="360">
      <c r="A156" s="77" t="n"/>
      <c r="B156" s="77" t="n"/>
      <c r="C156" s="77" t="n"/>
      <c r="D156" s="77" t="n"/>
      <c r="E156" s="77" t="n"/>
      <c r="F156" s="77" t="n"/>
    </row>
    <row r="157" ht="15.75" customHeight="1" s="360">
      <c r="A157" s="77" t="n"/>
      <c r="B157" s="77" t="n"/>
      <c r="C157" s="77" t="n"/>
      <c r="D157" s="77" t="n"/>
      <c r="E157" s="77" t="n"/>
      <c r="F157" s="77" t="n"/>
    </row>
    <row r="158" ht="15.75" customHeight="1" s="360">
      <c r="A158" s="77" t="n"/>
      <c r="B158" s="77" t="n"/>
      <c r="C158" s="77" t="n"/>
      <c r="D158" s="77" t="n"/>
      <c r="E158" s="77" t="n"/>
      <c r="F158" s="77" t="n"/>
    </row>
    <row r="159" ht="15.75" customHeight="1" s="360">
      <c r="A159" s="77" t="n"/>
      <c r="B159" s="77" t="n"/>
      <c r="C159" s="77" t="n"/>
      <c r="D159" s="77" t="n"/>
      <c r="E159" s="77" t="n"/>
      <c r="F159" s="77" t="n"/>
    </row>
    <row r="160" ht="15.75" customHeight="1" s="360">
      <c r="A160" s="77" t="n"/>
      <c r="B160" s="77" t="n"/>
      <c r="C160" s="77" t="n"/>
      <c r="D160" s="77" t="n"/>
      <c r="E160" s="77" t="n"/>
      <c r="F160" s="77" t="n"/>
    </row>
    <row r="161" ht="15.75" customHeight="1" s="360">
      <c r="A161" s="77" t="n"/>
      <c r="B161" s="77" t="n"/>
      <c r="C161" s="77" t="n"/>
      <c r="D161" s="77" t="n"/>
      <c r="E161" s="77" t="n"/>
      <c r="F161" s="77" t="n"/>
    </row>
    <row r="162" ht="15.75" customHeight="1" s="360">
      <c r="A162" s="77" t="n"/>
      <c r="B162" s="77" t="n"/>
      <c r="C162" s="77" t="n"/>
      <c r="D162" s="77" t="n"/>
      <c r="E162" s="77" t="n"/>
      <c r="F162" s="77" t="n"/>
    </row>
    <row r="163" ht="15.75" customHeight="1" s="360">
      <c r="A163" s="77" t="n"/>
      <c r="B163" s="77" t="n"/>
      <c r="C163" s="77" t="n"/>
      <c r="D163" s="77" t="n"/>
      <c r="E163" s="77" t="n"/>
      <c r="F163" s="77" t="n"/>
    </row>
    <row r="164" ht="15.75" customHeight="1" s="360">
      <c r="A164" s="77" t="n"/>
      <c r="B164" s="77" t="n"/>
      <c r="C164" s="77" t="n"/>
      <c r="D164" s="77" t="n"/>
      <c r="E164" s="77" t="n"/>
      <c r="F164" s="77" t="n"/>
    </row>
    <row r="165" ht="15.75" customHeight="1" s="360">
      <c r="A165" s="77" t="n"/>
      <c r="B165" s="77" t="n"/>
      <c r="C165" s="77" t="n"/>
      <c r="D165" s="77" t="n"/>
      <c r="E165" s="77" t="n"/>
      <c r="F165" s="77" t="n"/>
    </row>
    <row r="166" ht="15.75" customHeight="1" s="360">
      <c r="A166" s="77" t="n"/>
      <c r="B166" s="77" t="n"/>
      <c r="C166" s="77" t="n"/>
      <c r="D166" s="77" t="n"/>
      <c r="E166" s="77" t="n"/>
      <c r="F166" s="77" t="n"/>
    </row>
    <row r="167" ht="15.75" customHeight="1" s="360">
      <c r="A167" s="77" t="n"/>
      <c r="B167" s="77" t="n"/>
      <c r="C167" s="77" t="n"/>
      <c r="D167" s="77" t="n"/>
      <c r="E167" s="77" t="n"/>
      <c r="F167" s="77" t="n"/>
    </row>
    <row r="168" ht="15.75" customHeight="1" s="360">
      <c r="A168" s="77" t="n"/>
      <c r="B168" s="77" t="n"/>
      <c r="C168" s="77" t="n"/>
      <c r="D168" s="77" t="n"/>
      <c r="E168" s="77" t="n"/>
      <c r="F168" s="77" t="n"/>
    </row>
    <row r="169" ht="15.75" customHeight="1" s="360">
      <c r="A169" s="77" t="n"/>
      <c r="B169" s="77" t="n"/>
      <c r="C169" s="77" t="n"/>
      <c r="D169" s="77" t="n"/>
      <c r="E169" s="77" t="n"/>
      <c r="F169" s="77" t="n"/>
    </row>
    <row r="170" ht="15.75" customHeight="1" s="360">
      <c r="A170" s="77" t="n"/>
      <c r="B170" s="77" t="n"/>
      <c r="C170" s="77" t="n"/>
      <c r="D170" s="77" t="n"/>
      <c r="E170" s="77" t="n"/>
      <c r="F170" s="77" t="n"/>
    </row>
    <row r="171" ht="15.75" customHeight="1" s="360">
      <c r="A171" s="77" t="n"/>
      <c r="B171" s="77" t="n"/>
      <c r="C171" s="77" t="n"/>
      <c r="D171" s="77" t="n"/>
      <c r="E171" s="77" t="n"/>
      <c r="F171" s="77" t="n"/>
    </row>
    <row r="172" ht="15.75" customHeight="1" s="360">
      <c r="A172" s="77" t="n"/>
      <c r="B172" s="77" t="n"/>
      <c r="C172" s="77" t="n"/>
      <c r="D172" s="77" t="n"/>
      <c r="E172" s="77" t="n"/>
      <c r="F172" s="77" t="n"/>
    </row>
    <row r="173" ht="15.75" customHeight="1" s="360">
      <c r="A173" s="77" t="n"/>
      <c r="B173" s="77" t="n"/>
      <c r="C173" s="77" t="n"/>
      <c r="D173" s="77" t="n"/>
      <c r="E173" s="77" t="n"/>
      <c r="F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</row>
  </sheetData>
  <mergeCells count="11">
    <mergeCell ref="B4:F4"/>
    <mergeCell ref="E20:F20"/>
    <mergeCell ref="B16:F16"/>
    <mergeCell ref="B2:F2"/>
    <mergeCell ref="E19:F19"/>
    <mergeCell ref="E23:F23"/>
    <mergeCell ref="E22:F22"/>
    <mergeCell ref="B1:F1"/>
    <mergeCell ref="E17:F17"/>
    <mergeCell ref="E18:F18"/>
    <mergeCell ref="E21:F21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4.13" customWidth="1" style="360" min="1" max="1"/>
    <col width="22.63" customWidth="1" style="360" min="2" max="5"/>
    <col width="25.13" customWidth="1" style="360" min="6" max="21"/>
  </cols>
  <sheetData>
    <row r="1" ht="15.75" customHeight="1" s="360">
      <c r="A1" s="191" t="n"/>
      <c r="B1" s="191" t="n"/>
      <c r="C1" s="192" t="n"/>
      <c r="D1" s="191" t="n"/>
      <c r="E1" s="191" t="n"/>
      <c r="F1" s="192" t="n"/>
      <c r="G1" s="192" t="n"/>
      <c r="H1" s="192" t="n"/>
      <c r="I1" s="192" t="n"/>
      <c r="J1" s="191" t="n"/>
      <c r="K1" s="192" t="n"/>
      <c r="L1" s="191" t="n"/>
      <c r="M1" s="191" t="n"/>
      <c r="N1" s="192" t="n"/>
      <c r="O1" s="77" t="n"/>
      <c r="P1" s="191" t="n"/>
      <c r="Q1" s="192" t="n"/>
      <c r="R1" s="191" t="n"/>
      <c r="S1" s="191" t="n"/>
      <c r="T1" s="192" t="n"/>
      <c r="U1" s="77" t="n"/>
    </row>
    <row r="2" ht="17.25" customHeight="1" s="360">
      <c r="A2" s="191" t="n"/>
      <c r="B2" s="390" t="inlineStr">
        <is>
          <t>Stage 1</t>
        </is>
      </c>
      <c r="C2" s="378" t="n"/>
      <c r="D2" s="378" t="n"/>
      <c r="E2" s="378" t="n"/>
      <c r="F2" s="379" t="n"/>
      <c r="G2" s="77" t="n"/>
      <c r="H2" s="390" t="inlineStr">
        <is>
          <t>Stage 2</t>
        </is>
      </c>
      <c r="I2" s="378" t="n"/>
      <c r="J2" s="378" t="n"/>
      <c r="K2" s="378" t="n"/>
      <c r="L2" s="379" t="n"/>
      <c r="M2" s="77" t="n"/>
      <c r="N2" s="390" t="inlineStr">
        <is>
          <t>Stage 3</t>
        </is>
      </c>
      <c r="O2" s="378" t="n"/>
      <c r="P2" s="378" t="n"/>
      <c r="Q2" s="378" t="n"/>
      <c r="R2" s="379" t="n"/>
      <c r="S2" s="77" t="n"/>
      <c r="T2" s="77" t="n"/>
      <c r="U2" s="77" t="n"/>
    </row>
    <row r="3" ht="15" customHeight="1" s="360">
      <c r="A3" s="191" t="n"/>
      <c r="B3" s="248" t="inlineStr">
        <is>
          <t>Project Overview</t>
        </is>
      </c>
      <c r="C3" s="378" t="n"/>
      <c r="D3" s="378" t="n"/>
      <c r="E3" s="378" t="n"/>
      <c r="F3" s="379" t="n"/>
      <c r="G3" s="77" t="n"/>
      <c r="H3" s="248" t="inlineStr">
        <is>
          <t>Project Overview</t>
        </is>
      </c>
      <c r="I3" s="378" t="n"/>
      <c r="J3" s="378" t="n"/>
      <c r="K3" s="378" t="n"/>
      <c r="L3" s="379" t="n"/>
      <c r="M3" s="77" t="n"/>
      <c r="N3" s="248" t="inlineStr">
        <is>
          <t>Project Overview</t>
        </is>
      </c>
      <c r="O3" s="378" t="n"/>
      <c r="P3" s="378" t="n"/>
      <c r="Q3" s="378" t="n"/>
      <c r="R3" s="379" t="n"/>
      <c r="S3" s="77" t="n"/>
      <c r="T3" s="77" t="n"/>
      <c r="U3" s="77" t="n"/>
    </row>
    <row r="4" ht="64.5" customHeight="1" s="360">
      <c r="A4" s="191" t="n"/>
      <c r="B4" s="195" t="inlineStr">
        <is>
          <t>Project name</t>
        </is>
      </c>
      <c r="C4" s="197" t="inlineStr">
        <is>
          <t xml:space="preserve">Factory "Amaru I" – Planta Piloto Recolección y Procesamiento
</t>
        </is>
      </c>
      <c r="D4" s="379" t="n"/>
      <c r="E4" s="195" t="inlineStr">
        <is>
          <t>Project Manager</t>
        </is>
      </c>
      <c r="F4" s="197" t="inlineStr">
        <is>
          <t xml:space="preserve">Raúl </t>
        </is>
      </c>
      <c r="G4" s="77" t="n"/>
      <c r="H4" s="195" t="inlineStr">
        <is>
          <t>Project name</t>
        </is>
      </c>
      <c r="I4" s="197" t="inlineStr">
        <is>
          <t xml:space="preserve">Factory "Amaru I" – Planta Piloto Recolección y Procesamiento
</t>
        </is>
      </c>
      <c r="J4" s="379" t="n"/>
      <c r="K4" s="195" t="inlineStr">
        <is>
          <t>Project Manager</t>
        </is>
      </c>
      <c r="L4" s="197" t="inlineStr">
        <is>
          <t xml:space="preserve">Raúl </t>
        </is>
      </c>
      <c r="M4" s="77" t="n"/>
      <c r="N4" s="195" t="inlineStr">
        <is>
          <t>Project name</t>
        </is>
      </c>
      <c r="O4" s="197" t="inlineStr">
        <is>
          <t xml:space="preserve">Factory "Amaru I" – Planta Piloto Recolección y Procesamiento
</t>
        </is>
      </c>
      <c r="P4" s="379" t="n"/>
      <c r="Q4" s="195" t="inlineStr">
        <is>
          <t>Project Manager</t>
        </is>
      </c>
      <c r="R4" s="197" t="inlineStr">
        <is>
          <t xml:space="preserve">Raúl </t>
        </is>
      </c>
      <c r="S4" s="77" t="n"/>
      <c r="T4" s="77" t="n"/>
      <c r="U4" s="77" t="n"/>
    </row>
    <row r="5" ht="15" customHeight="1" s="360">
      <c r="A5" s="191" t="n"/>
      <c r="B5" s="195" t="inlineStr">
        <is>
          <t>Location</t>
        </is>
      </c>
      <c r="C5" s="197" t="inlineStr">
        <is>
          <t xml:space="preserve">Perú </t>
        </is>
      </c>
      <c r="D5" s="379" t="n"/>
      <c r="E5" s="195" t="inlineStr">
        <is>
          <t>Project Sponsor</t>
        </is>
      </c>
      <c r="F5" s="197" t="inlineStr">
        <is>
          <t>Alex (Owner)</t>
        </is>
      </c>
      <c r="G5" s="77" t="n"/>
      <c r="H5" s="195" t="inlineStr">
        <is>
          <t>Location</t>
        </is>
      </c>
      <c r="I5" s="197" t="inlineStr">
        <is>
          <t xml:space="preserve">Perú </t>
        </is>
      </c>
      <c r="J5" s="379" t="n"/>
      <c r="K5" s="195" t="inlineStr">
        <is>
          <t>Project Sponsor</t>
        </is>
      </c>
      <c r="L5" s="197" t="inlineStr">
        <is>
          <t>Alex (Owner)</t>
        </is>
      </c>
      <c r="M5" s="77" t="n"/>
      <c r="N5" s="195" t="inlineStr">
        <is>
          <t>Location</t>
        </is>
      </c>
      <c r="O5" s="197" t="inlineStr">
        <is>
          <t xml:space="preserve">Perú </t>
        </is>
      </c>
      <c r="P5" s="379" t="n"/>
      <c r="Q5" s="195" t="inlineStr">
        <is>
          <t>Project Sponsor</t>
        </is>
      </c>
      <c r="R5" s="197" t="inlineStr">
        <is>
          <t>Alex (Owner)</t>
        </is>
      </c>
      <c r="S5" s="77" t="n"/>
      <c r="T5" s="77" t="n"/>
      <c r="U5" s="77" t="n"/>
    </row>
    <row r="6" ht="51.75" customHeight="1" s="360">
      <c r="A6" s="191" t="n"/>
      <c r="B6" s="195" t="inlineStr">
        <is>
          <t>Sector</t>
        </is>
      </c>
      <c r="C6" s="197" t="inlineStr">
        <is>
          <t xml:space="preserve">Reciclaje y Procesamiento de Plásticos Post‑Proceso
</t>
        </is>
      </c>
      <c r="D6" s="379" t="n"/>
      <c r="E6" s="198" t="n"/>
      <c r="F6" s="199" t="n"/>
      <c r="G6" s="77" t="n"/>
      <c r="H6" s="195" t="inlineStr">
        <is>
          <t>Sector</t>
        </is>
      </c>
      <c r="I6" s="197" t="inlineStr">
        <is>
          <t xml:space="preserve">Reciclaje y Procesamiento de Plásticos Post‑Proceso
</t>
        </is>
      </c>
      <c r="J6" s="379" t="n"/>
      <c r="K6" s="198" t="n"/>
      <c r="L6" s="199" t="n"/>
      <c r="M6" s="77" t="n"/>
      <c r="N6" s="195" t="inlineStr">
        <is>
          <t>Sector</t>
        </is>
      </c>
      <c r="O6" s="197" t="inlineStr">
        <is>
          <t xml:space="preserve">Reciclaje y Procesamiento de Plásticos Post‑Proceso
</t>
        </is>
      </c>
      <c r="P6" s="379" t="n"/>
      <c r="Q6" s="198" t="n"/>
      <c r="R6" s="199" t="n"/>
      <c r="S6" s="77" t="n"/>
      <c r="T6" s="77" t="n"/>
      <c r="U6" s="77" t="n"/>
    </row>
    <row r="7" ht="15" customHeight="1" s="360">
      <c r="A7" s="191" t="n"/>
      <c r="B7" s="195" t="inlineStr">
        <is>
          <t>Stages</t>
        </is>
      </c>
      <c r="C7" s="206" t="inlineStr">
        <is>
          <t>1. Piloto – Planta de recolección + almacenamiento</t>
        </is>
      </c>
      <c r="D7" s="378" t="n"/>
      <c r="E7" s="378" t="n"/>
      <c r="F7" s="379" t="n"/>
      <c r="G7" s="77" t="n"/>
      <c r="H7" s="195" t="inlineStr">
        <is>
          <t>Stages</t>
        </is>
      </c>
      <c r="I7" s="197" t="inlineStr">
        <is>
          <t>1. Piloto – Planta de recolección + almacenamiento</t>
        </is>
      </c>
      <c r="J7" s="378" t="n"/>
      <c r="K7" s="378" t="n"/>
      <c r="L7" s="379" t="n"/>
      <c r="M7" s="77" t="n"/>
      <c r="N7" s="195" t="inlineStr">
        <is>
          <t>Stages</t>
        </is>
      </c>
      <c r="O7" s="197" t="inlineStr">
        <is>
          <t>1. Piloto – Planta de recolección + almacenamiento</t>
        </is>
      </c>
      <c r="P7" s="378" t="n"/>
      <c r="Q7" s="378" t="n"/>
      <c r="R7" s="379" t="n"/>
      <c r="S7" s="77" t="n"/>
      <c r="T7" s="77" t="n"/>
      <c r="U7" s="77" t="n"/>
    </row>
    <row r="8" ht="15" customHeight="1" s="360">
      <c r="A8" s="191" t="n"/>
      <c r="B8" s="391" t="n"/>
      <c r="C8" s="197" t="inlineStr">
        <is>
          <t>2. Piloto – Planta de recolección + almacenamiento + Procesamiento</t>
        </is>
      </c>
      <c r="D8" s="378" t="n"/>
      <c r="E8" s="378" t="n"/>
      <c r="F8" s="379" t="n"/>
      <c r="G8" s="77" t="n"/>
      <c r="H8" s="391" t="n"/>
      <c r="I8" s="206" t="inlineStr">
        <is>
          <t>2. Piloto – Planta de recolección + almacenamiento + Procesamiento</t>
        </is>
      </c>
      <c r="J8" s="378" t="n"/>
      <c r="K8" s="378" t="n"/>
      <c r="L8" s="379" t="n"/>
      <c r="M8" s="77" t="n"/>
      <c r="N8" s="391" t="n"/>
      <c r="O8" s="197" t="inlineStr">
        <is>
          <t>2. Piloto – Planta de recolección + almacenamiento + Procesamiento</t>
        </is>
      </c>
      <c r="P8" s="378" t="n"/>
      <c r="Q8" s="378" t="n"/>
      <c r="R8" s="379" t="n"/>
      <c r="S8" s="77" t="n"/>
      <c r="T8" s="77" t="n"/>
      <c r="U8" s="77" t="n"/>
    </row>
    <row r="9" ht="15" customHeight="1" s="360">
      <c r="A9" s="191" t="n"/>
      <c r="B9" s="195" t="n"/>
      <c r="C9" s="197" t="inlineStr">
        <is>
          <t>3. Escala a 5+ paises– Planta de recolección + almacenamiento + Procesamiento</t>
        </is>
      </c>
      <c r="D9" s="378" t="n"/>
      <c r="E9" s="378" t="n"/>
      <c r="F9" s="379" t="n"/>
      <c r="G9" s="77" t="n"/>
      <c r="H9" s="195" t="n"/>
      <c r="I9" s="197" t="inlineStr">
        <is>
          <t>3. Escala a 5+ paises– Planta de recolección + almacenamiento + Procesamiento</t>
        </is>
      </c>
      <c r="J9" s="378" t="n"/>
      <c r="K9" s="378" t="n"/>
      <c r="L9" s="379" t="n"/>
      <c r="M9" s="77" t="n"/>
      <c r="N9" s="195" t="n"/>
      <c r="O9" s="206" t="inlineStr">
        <is>
          <t>3. Escala a 5+ paises– Planta de recolección + almacenamiento + Procesamiento</t>
        </is>
      </c>
      <c r="P9" s="378" t="n"/>
      <c r="Q9" s="378" t="n"/>
      <c r="R9" s="379" t="n"/>
      <c r="S9" s="77" t="n"/>
      <c r="T9" s="77" t="n"/>
      <c r="U9" s="77" t="n"/>
    </row>
    <row r="10" ht="15" customHeight="1" s="360">
      <c r="A10" s="191" t="n"/>
      <c r="B10" s="248" t="inlineStr">
        <is>
          <t>Project Summary</t>
        </is>
      </c>
      <c r="C10" s="378" t="n"/>
      <c r="D10" s="378" t="n"/>
      <c r="E10" s="378" t="n"/>
      <c r="F10" s="379" t="n"/>
      <c r="G10" s="77" t="n"/>
      <c r="H10" s="248" t="inlineStr">
        <is>
          <t>Project Summary</t>
        </is>
      </c>
      <c r="I10" s="378" t="n"/>
      <c r="J10" s="378" t="n"/>
      <c r="K10" s="378" t="n"/>
      <c r="L10" s="379" t="n"/>
      <c r="M10" s="77" t="n"/>
      <c r="N10" s="248" t="inlineStr">
        <is>
          <t>Project Summary</t>
        </is>
      </c>
      <c r="O10" s="378" t="n"/>
      <c r="P10" s="378" t="n"/>
      <c r="Q10" s="378" t="n"/>
      <c r="R10" s="379" t="n"/>
      <c r="S10" s="77" t="n"/>
      <c r="T10" s="77" t="n"/>
      <c r="U10" s="77" t="n"/>
    </row>
    <row r="11" ht="153" customHeight="1" s="360">
      <c r="A11" s="191" t="n"/>
      <c r="B11" s="195" t="inlineStr">
        <is>
          <t>Project Background:</t>
        </is>
      </c>
      <c r="C11" s="392" t="inlineStr">
        <is>
          <t>OPORTUNIDAD: Alex necesita un hub logístico para consolidar plásticos reciclados antes de exportar.
SOLUCIÓN Stage 1 — PlasHub (consolidación pura, SIN procesamiento):
RECIBE → CLASIFICA → PESA → ALMACENA → CONSOLIDA 20t → DESPACHA contenedor 40 pies.
Capital confirmado: USD 22,000 (Alex $15K + Raúl $5K desde ago-2026).
Zona nave: SMP / Los Olivos / Puente Piedra (Lima Norte).
EC-RS (MINAM): CRÍTICO — 60-90 días — INICIAR INMEDIATAMENTE.
Stage 1 NO incluye: trituración, lavado, peletizado ni maquinaria pesada.</t>
        </is>
      </c>
      <c r="D11" s="378" t="n"/>
      <c r="E11" s="378" t="n"/>
      <c r="F11" s="379" t="n"/>
      <c r="G11" s="77" t="n"/>
      <c r="H11" s="195" t="inlineStr">
        <is>
          <t>Project Background:</t>
        </is>
      </c>
      <c r="I11" s="197" t="inlineStr">
        <is>
          <t xml:space="preserve">Stage 1 ha validado:
-Demanda de Alex: 500+ ton/mes confirmado (contrato MOU firmado)
-Ubicación de terreno: Asegurada y verificada
-
Especificaciones técnicas: Layout y equipos definidos
Modelo financiero: IRR 25–35% validado
Permisos: Expediente EIA presentado a SENACE
Objetivo de Stage 2: Ejecutar construcción de Fase 1, validar operación y preparar decisión de Fase 2.
</t>
        </is>
      </c>
      <c r="J11" s="378" t="n"/>
      <c r="K11" s="378" t="n"/>
      <c r="L11" s="379" t="n"/>
      <c r="M11" s="77" t="n"/>
      <c r="N11" s="195" t="inlineStr">
        <is>
          <t>Project Background:</t>
        </is>
      </c>
      <c r="O11" s="197" t="inlineStr">
        <is>
          <t xml:space="preserve">Fase 1 validó:
-Operación estable con volumen 400–500+ ton/mes
-Márgenes de almacenaje 5–10 USD/ton mantenidos
-Calidad controlada (rechazo &lt; 10%)
-Equipos y procesos optimizados
Objetivo de Stage 3: Escalar planta a Fase 2 (6,000 m²), introducir procesamiento avanzado (trituración, lavado, peletizado) y diversificar clientes más allá de Alex.
</t>
        </is>
      </c>
      <c r="P11" s="378" t="n"/>
      <c r="Q11" s="378" t="n"/>
      <c r="R11" s="379" t="n"/>
      <c r="S11" s="77" t="n"/>
      <c r="T11" s="77" t="n"/>
      <c r="U11" s="77" t="n"/>
    </row>
    <row r="12" ht="15" customHeight="1" s="360">
      <c r="A12" s="191" t="n"/>
      <c r="B12" s="248" t="inlineStr">
        <is>
          <t>Agreed deliverables</t>
        </is>
      </c>
      <c r="C12" s="378" t="n"/>
      <c r="D12" s="378" t="n"/>
      <c r="E12" s="378" t="n"/>
      <c r="F12" s="379" t="n"/>
      <c r="G12" s="77" t="n"/>
      <c r="H12" s="248" t="inlineStr">
        <is>
          <t>Agreed deliverables</t>
        </is>
      </c>
      <c r="I12" s="378" t="n"/>
      <c r="J12" s="378" t="n"/>
      <c r="K12" s="378" t="n"/>
      <c r="L12" s="379" t="n"/>
      <c r="M12" s="77" t="n"/>
      <c r="N12" s="248" t="inlineStr">
        <is>
          <t>-</t>
        </is>
      </c>
      <c r="O12" s="378" t="n"/>
      <c r="P12" s="378" t="n"/>
      <c r="Q12" s="378" t="n"/>
      <c r="R12" s="379" t="n"/>
      <c r="S12" s="77" t="n"/>
      <c r="T12" s="77" t="n"/>
      <c r="U12" s="77" t="n"/>
    </row>
    <row r="13" ht="15" customHeight="1" s="360">
      <c r="A13" s="191" t="n"/>
      <c r="B13" s="205" t="inlineStr">
        <is>
          <t>Deliverable</t>
        </is>
      </c>
      <c r="C13" s="379" t="n"/>
      <c r="D13" s="205" t="inlineStr">
        <is>
          <t>Responsable</t>
        </is>
      </c>
      <c r="E13" s="205" t="inlineStr">
        <is>
          <t>Due Date</t>
        </is>
      </c>
      <c r="F13" s="206" t="inlineStr">
        <is>
          <t>Status</t>
        </is>
      </c>
      <c r="G13" s="77" t="n"/>
      <c r="H13" s="205" t="inlineStr">
        <is>
          <t>Deliverable</t>
        </is>
      </c>
      <c r="I13" s="379" t="n"/>
      <c r="J13" s="205" t="inlineStr">
        <is>
          <t>Responsable</t>
        </is>
      </c>
      <c r="K13" s="205" t="inlineStr">
        <is>
          <t>Due Date</t>
        </is>
      </c>
      <c r="L13" s="206" t="inlineStr">
        <is>
          <t>Status</t>
        </is>
      </c>
      <c r="M13" s="77" t="n"/>
      <c r="N13" s="205" t="inlineStr">
        <is>
          <t>Deliverable</t>
        </is>
      </c>
      <c r="O13" s="379" t="n"/>
      <c r="P13" s="205" t="inlineStr">
        <is>
          <t>Responsable</t>
        </is>
      </c>
      <c r="Q13" s="205" t="inlineStr">
        <is>
          <t>Due Date</t>
        </is>
      </c>
      <c r="R13" s="206" t="inlineStr">
        <is>
          <t>Status</t>
        </is>
      </c>
      <c r="S13" s="77" t="n"/>
      <c r="T13" s="77" t="n"/>
      <c r="U13" s="77" t="n"/>
    </row>
    <row r="14" ht="26.25" customHeight="1" s="360">
      <c r="A14" s="191" t="n"/>
      <c r="B14" s="208" t="inlineStr">
        <is>
          <t>Validación de mercado (demanda Alex + alternativas)</t>
        </is>
      </c>
      <c r="C14" s="379" t="n"/>
      <c r="D14" s="208" t="inlineStr">
        <is>
          <t>Raúl</t>
        </is>
      </c>
      <c r="E14" s="209" t="n">
        <v>46081</v>
      </c>
      <c r="F14" s="197" t="n"/>
      <c r="G14" s="77" t="n"/>
      <c r="H14" s="211" t="inlineStr">
        <is>
          <t>Aprobación de permisos (EIA, municipal, INDECI, ITSE)</t>
        </is>
      </c>
      <c r="I14" s="379" t="n"/>
      <c r="J14" s="211" t="inlineStr">
        <is>
          <t>Asesor</t>
        </is>
      </c>
      <c r="K14" s="209" t="n"/>
      <c r="L14" s="197" t="n"/>
      <c r="M14" s="77" t="n"/>
      <c r="N14" s="208" t="n"/>
      <c r="O14" s="379" t="n"/>
      <c r="P14" s="208" t="n"/>
      <c r="Q14" s="209" t="n"/>
      <c r="R14" s="197" t="n"/>
      <c r="S14" s="77" t="n"/>
      <c r="T14" s="77" t="n"/>
      <c r="U14" s="77" t="n"/>
    </row>
    <row r="15" ht="26.25" customHeight="1" s="360">
      <c r="A15" s="191" t="n"/>
      <c r="B15" s="211" t="inlineStr">
        <is>
          <t>Estudio técnico y de factibilidad (layout, CAPEX, especificaciones)</t>
        </is>
      </c>
      <c r="C15" s="379" t="n"/>
      <c r="D15" s="211" t="inlineStr">
        <is>
          <t>Asesor Técnico</t>
        </is>
      </c>
      <c r="E15" s="209" t="n">
        <v>46081</v>
      </c>
      <c r="F15" s="197" t="n"/>
      <c r="G15" s="77" t="n"/>
      <c r="H15" s="211" t="inlineStr">
        <is>
          <t>Obra civil completada (nave, servicios, layout)</t>
        </is>
      </c>
      <c r="I15" s="379" t="n"/>
      <c r="J15" s="211" t="inlineStr">
        <is>
          <t>Asesor</t>
        </is>
      </c>
      <c r="K15" s="209" t="n"/>
      <c r="L15" s="197" t="n"/>
      <c r="M15" s="77" t="n"/>
      <c r="N15" s="211" t="n"/>
      <c r="O15" s="379" t="n"/>
      <c r="P15" s="211" t="n"/>
      <c r="Q15" s="209" t="n"/>
      <c r="R15" s="197" t="n"/>
      <c r="S15" s="77" t="n"/>
      <c r="T15" s="77" t="n"/>
      <c r="U15" s="77" t="n"/>
    </row>
    <row r="16" ht="26.25" customHeight="1" s="360">
      <c r="A16" s="191" t="n"/>
      <c r="B16" s="211" t="inlineStr">
        <is>
          <t>Análisis legal/regulatorio (matriz permisos, EIA, INDECI)</t>
        </is>
      </c>
      <c r="C16" s="379" t="n"/>
      <c r="D16" s="211" t="inlineStr">
        <is>
          <t>Asesor Legal</t>
        </is>
      </c>
      <c r="E16" s="209" t="n">
        <v>46075</v>
      </c>
      <c r="F16" s="197" t="n"/>
      <c r="G16" s="77" t="n"/>
      <c r="H16" s="211" t="inlineStr">
        <is>
          <t>Equipos principales procurados e instalados</t>
        </is>
      </c>
      <c r="I16" s="379" t="n"/>
      <c r="J16" s="211" t="inlineStr">
        <is>
          <t>Alex</t>
        </is>
      </c>
      <c r="K16" s="209" t="n"/>
      <c r="L16" s="197" t="n"/>
      <c r="M16" s="77" t="n"/>
      <c r="N16" s="211" t="n"/>
      <c r="O16" s="379" t="n"/>
      <c r="P16" s="211" t="n"/>
      <c r="Q16" s="209" t="n"/>
      <c r="R16" s="197" t="n"/>
      <c r="S16" s="77" t="n"/>
      <c r="T16" s="77" t="n"/>
      <c r="U16" s="77" t="n"/>
    </row>
    <row r="17" ht="26.25" customHeight="1" s="360">
      <c r="A17" s="191" t="n"/>
      <c r="B17" s="208" t="inlineStr">
        <is>
          <t>Modelo financiero piloto (forecasts 24 meses, IRR, payback)</t>
        </is>
      </c>
      <c r="C17" s="379" t="n"/>
      <c r="D17" s="208" t="inlineStr">
        <is>
          <t>Raúl</t>
        </is>
      </c>
      <c r="E17" s="212" t="n">
        <v>46086</v>
      </c>
      <c r="F17" s="197" t="n"/>
      <c r="G17" s="77" t="n"/>
      <c r="H17" s="208" t="inlineStr">
        <is>
          <t>Start of Production (SOP) – Fase 1</t>
        </is>
      </c>
      <c r="I17" s="379" t="n"/>
      <c r="J17" s="213" t="inlineStr">
        <is>
          <t>Site Manager</t>
        </is>
      </c>
      <c r="K17" s="212" t="n"/>
      <c r="L17" s="197" t="n"/>
      <c r="M17" s="77" t="n"/>
      <c r="N17" s="208" t="n"/>
      <c r="O17" s="379" t="n"/>
      <c r="P17" s="208" t="n"/>
      <c r="Q17" s="212" t="n"/>
      <c r="R17" s="197" t="n"/>
      <c r="S17" s="77" t="n"/>
      <c r="T17" s="77" t="n"/>
      <c r="U17" s="77" t="n"/>
    </row>
    <row r="18" ht="26.25" customHeight="1" s="360">
      <c r="A18" s="191" t="n"/>
      <c r="B18" s="211" t="inlineStr">
        <is>
          <t>MOU y acuerdos de gobernanza (roles, equity, CAPEX aportes)</t>
        </is>
      </c>
      <c r="C18" s="379" t="n"/>
      <c r="D18" s="211" t="inlineStr">
        <is>
          <t>Raúl + Alex</t>
        </is>
      </c>
      <c r="E18" s="209" t="n">
        <v>46068</v>
      </c>
      <c r="F18" s="197" t="n"/>
      <c r="G18" s="77" t="n"/>
      <c r="H18" s="208" t="inlineStr">
        <is>
          <t>Operación 6–9 meses validando volumen, calidad, márgenes</t>
        </is>
      </c>
      <c r="I18" s="379" t="n"/>
      <c r="J18" s="208" t="inlineStr">
        <is>
          <t>Site Manager</t>
        </is>
      </c>
      <c r="K18" s="209" t="n"/>
      <c r="L18" s="197" t="n"/>
      <c r="M18" s="77" t="n"/>
      <c r="N18" s="211" t="n"/>
      <c r="O18" s="379" t="n"/>
      <c r="P18" s="211" t="n"/>
      <c r="Q18" s="209" t="n"/>
      <c r="R18" s="197" t="n"/>
      <c r="S18" s="77" t="n"/>
      <c r="T18" s="77" t="n"/>
      <c r="U18" s="77" t="n"/>
    </row>
    <row r="19" ht="26.25" customHeight="1" s="360">
      <c r="A19" s="191" t="n"/>
      <c r="B19" s="208" t="inlineStr">
        <is>
          <t>Risk Register y planes de mitigación</t>
        </is>
      </c>
      <c r="C19" s="379" t="n"/>
      <c r="D19" s="208" t="inlineStr">
        <is>
          <t>Raúl</t>
        </is>
      </c>
      <c r="E19" s="214" t="n">
        <v>46057</v>
      </c>
      <c r="F19" s="197" t="inlineStr">
        <is>
          <t>Progress</t>
        </is>
      </c>
      <c r="G19" s="77" t="n"/>
      <c r="H19" s="208" t="inlineStr">
        <is>
          <t>KPIs de operación cumplidos (volumen, rechazo &lt; 5%, margen 5–10 USD/ton)</t>
        </is>
      </c>
      <c r="I19" s="379" t="n"/>
      <c r="J19" s="208" t="inlineStr">
        <is>
          <t>Site Manager</t>
        </is>
      </c>
      <c r="K19" s="214" t="n"/>
      <c r="L19" s="197" t="n"/>
      <c r="M19" s="77" t="n"/>
      <c r="N19" s="208" t="n"/>
      <c r="O19" s="379" t="n"/>
      <c r="P19" s="208" t="n"/>
      <c r="Q19" s="214" t="n"/>
      <c r="R19" s="197" t="n"/>
      <c r="S19" s="77" t="n"/>
      <c r="T19" s="77" t="n"/>
      <c r="U19" s="77" t="n"/>
    </row>
    <row r="20" ht="15" customHeight="1" s="360">
      <c r="A20" s="191" t="n"/>
      <c r="B20" s="208" t="inlineStr">
        <is>
          <t>Selección y aseguramiento de terreno</t>
        </is>
      </c>
      <c r="C20" s="379" t="n"/>
      <c r="D20" s="208" t="inlineStr">
        <is>
          <t>Raúl + Alex</t>
        </is>
      </c>
      <c r="E20" s="209" t="n">
        <v>46075</v>
      </c>
      <c r="F20" s="197" t="n"/>
      <c r="G20" s="77" t="n"/>
      <c r="H20" s="208" t="inlineStr">
        <is>
          <t>Gate 2 Decision Report (Go/No-Go para Fase 2)</t>
        </is>
      </c>
      <c r="I20" s="379" t="n"/>
      <c r="J20" s="215" t="inlineStr">
        <is>
          <t>Raúl</t>
        </is>
      </c>
      <c r="K20" s="209" t="n"/>
      <c r="L20" s="197" t="n"/>
      <c r="M20" s="77" t="n"/>
      <c r="N20" s="208" t="n"/>
      <c r="O20" s="379" t="n"/>
      <c r="P20" s="208" t="n"/>
      <c r="Q20" s="209" t="n"/>
      <c r="R20" s="197" t="n"/>
      <c r="S20" s="77" t="n"/>
      <c r="T20" s="77" t="n"/>
      <c r="U20" s="77" t="n"/>
    </row>
    <row r="21" ht="15" customHeight="1" s="360">
      <c r="A21" s="191" t="n"/>
      <c r="B21" s="248" t="inlineStr">
        <is>
          <t>Timelne</t>
        </is>
      </c>
      <c r="C21" s="378" t="n"/>
      <c r="D21" s="378" t="n"/>
      <c r="E21" s="378" t="n"/>
      <c r="F21" s="379" t="n"/>
      <c r="G21" s="77" t="n"/>
      <c r="H21" s="248" t="inlineStr">
        <is>
          <t>Timelne</t>
        </is>
      </c>
      <c r="I21" s="378" t="n"/>
      <c r="J21" s="378" t="n"/>
      <c r="K21" s="378" t="n"/>
      <c r="L21" s="379" t="n"/>
      <c r="M21" s="77" t="n"/>
      <c r="N21" s="248" t="inlineStr">
        <is>
          <t>Timelne</t>
        </is>
      </c>
      <c r="O21" s="378" t="n"/>
      <c r="P21" s="378" t="n"/>
      <c r="Q21" s="378" t="n"/>
      <c r="R21" s="379" t="n"/>
      <c r="S21" s="77" t="n"/>
      <c r="T21" s="77" t="n"/>
      <c r="U21" s="77" t="n"/>
    </row>
    <row r="22" ht="17.25" customHeight="1" s="360">
      <c r="A22" s="191" t="n"/>
      <c r="B22" s="195" t="inlineStr">
        <is>
          <t>Planned start:</t>
        </is>
      </c>
      <c r="C22" s="393" t="n">
        <v>46054</v>
      </c>
      <c r="D22" s="379" t="n"/>
      <c r="E22" s="195" t="inlineStr">
        <is>
          <t>Planned end:</t>
        </is>
      </c>
      <c r="F22" s="217" t="n">
        <v>46086</v>
      </c>
      <c r="G22" s="218" t="n"/>
      <c r="H22" s="195" t="inlineStr">
        <is>
          <t>Planned start:</t>
        </is>
      </c>
      <c r="I22" s="393" t="n">
        <v>46054</v>
      </c>
      <c r="J22" s="379" t="n"/>
      <c r="K22" s="195" t="inlineStr">
        <is>
          <t>Planned end:</t>
        </is>
      </c>
      <c r="L22" s="217" t="n">
        <v>46086</v>
      </c>
      <c r="M22" s="77" t="n"/>
      <c r="N22" s="195" t="inlineStr">
        <is>
          <t>Planned start:</t>
        </is>
      </c>
      <c r="O22" s="393" t="n">
        <v>46054</v>
      </c>
      <c r="P22" s="379" t="n"/>
      <c r="Q22" s="195" t="inlineStr">
        <is>
          <t>Planned end:</t>
        </is>
      </c>
      <c r="R22" s="217" t="n">
        <v>46086</v>
      </c>
      <c r="S22" s="77" t="n"/>
      <c r="T22" s="77" t="n"/>
      <c r="U22" s="77" t="n"/>
    </row>
    <row r="23" ht="17.25" customHeight="1" s="360">
      <c r="A23" s="191" t="n"/>
      <c r="B23" s="248" t="inlineStr">
        <is>
          <t>Project cost - CAPEX por bloque</t>
        </is>
      </c>
      <c r="C23" s="378" t="n"/>
      <c r="D23" s="378" t="n"/>
      <c r="E23" s="378" t="n"/>
      <c r="F23" s="379" t="n"/>
      <c r="G23" s="218" t="n"/>
      <c r="H23" s="248" t="inlineStr">
        <is>
          <t>Project cost - CAPEX por bloque</t>
        </is>
      </c>
      <c r="I23" s="378" t="n"/>
      <c r="J23" s="378" t="n"/>
      <c r="K23" s="378" t="n"/>
      <c r="L23" s="379" t="n"/>
      <c r="M23" s="77" t="n"/>
      <c r="N23" s="248" t="inlineStr">
        <is>
          <t>Project cost - CAPEX por bloque</t>
        </is>
      </c>
      <c r="O23" s="378" t="n"/>
      <c r="P23" s="378" t="n"/>
      <c r="Q23" s="378" t="n"/>
      <c r="R23" s="379" t="n"/>
      <c r="S23" s="77" t="n"/>
      <c r="T23" s="77" t="n"/>
      <c r="U23" s="77" t="n"/>
    </row>
    <row r="24" ht="17.25" customHeight="1" s="360">
      <c r="A24" s="191" t="n"/>
      <c r="B24" s="77" t="n"/>
      <c r="C24" s="195" t="inlineStr">
        <is>
          <t>Cost Component</t>
        </is>
      </c>
      <c r="D24" s="219" t="inlineStr">
        <is>
          <t>Breakdown / Notes</t>
        </is>
      </c>
      <c r="E24" s="220" t="n"/>
      <c r="F24" s="195" t="inlineStr">
        <is>
          <t>Estimated USD</t>
        </is>
      </c>
      <c r="G24" s="218" t="n"/>
      <c r="H24" s="77" t="n"/>
      <c r="I24" s="195" t="inlineStr">
        <is>
          <t>Cost Component</t>
        </is>
      </c>
      <c r="J24" s="219" t="inlineStr">
        <is>
          <t>Breakdown / Notes</t>
        </is>
      </c>
      <c r="K24" s="220" t="n"/>
      <c r="L24" s="195" t="inlineStr">
        <is>
          <t>Estimated USD</t>
        </is>
      </c>
      <c r="M24" s="77" t="n"/>
      <c r="N24" s="77" t="n"/>
      <c r="O24" s="195" t="inlineStr">
        <is>
          <t>Cost Component</t>
        </is>
      </c>
      <c r="P24" s="219" t="inlineStr">
        <is>
          <t>Breakdown / Notes</t>
        </is>
      </c>
      <c r="Q24" s="220" t="n"/>
      <c r="R24" s="195" t="inlineStr">
        <is>
          <t>Estimated USD</t>
        </is>
      </c>
      <c r="S24" s="77" t="n"/>
      <c r="T24" s="77" t="n"/>
      <c r="U24" s="77" t="n"/>
    </row>
    <row r="25" ht="23.25" customHeight="1" s="360">
      <c r="A25" s="191" t="n"/>
      <c r="B25" s="394" t="inlineStr">
        <is>
          <t>Estudios y Asesoría</t>
        </is>
      </c>
      <c r="C25" s="222" t="inlineStr">
        <is>
          <t>Consultor EC-RS/ambiental (MINAM)</t>
        </is>
      </c>
      <c r="D25" s="392" t="inlineStr">
        <is>
          <t>EC-RS + Plan Manejo Residuos Sólidos</t>
        </is>
      </c>
      <c r="E25" s="379" t="n"/>
      <c r="F25" s="228" t="n">
        <v>3500</v>
      </c>
      <c r="G25" s="218" t="n"/>
      <c r="H25" s="221" t="inlineStr">
        <is>
          <t>CAPEX – Obra Civil</t>
        </is>
      </c>
      <c r="I25" s="222" t="inlineStr">
        <is>
          <t>Adecuación de terreno</t>
        </is>
      </c>
      <c r="J25" s="395" t="inlineStr">
        <is>
          <t>Limpieza, nivelación, servicios básicos</t>
        </is>
      </c>
      <c r="K25" s="379" t="n"/>
      <c r="L25" s="225" t="n"/>
      <c r="M25" s="77" t="n"/>
      <c r="N25" s="394" t="inlineStr">
        <is>
          <t>Estudios y Asesoría</t>
        </is>
      </c>
      <c r="O25" s="222" t="n"/>
      <c r="P25" s="231" t="n"/>
      <c r="Q25" s="379" t="n"/>
      <c r="R25" s="225" t="n"/>
      <c r="S25" s="77" t="n"/>
      <c r="T25" s="77" t="n"/>
      <c r="U25" s="77" t="n"/>
    </row>
    <row r="26" ht="23.25" customHeight="1" s="360">
      <c r="A26" s="191" t="n"/>
      <c r="B26" s="396" t="n"/>
      <c r="C26" s="222" t="inlineStr">
        <is>
          <t>Asesoría Legal (MOU + Licencia Funcionamiento)</t>
        </is>
      </c>
      <c r="D26" s="392" t="inlineStr">
        <is>
          <t>Notaría + abogado peruano</t>
        </is>
      </c>
      <c r="E26" s="379" t="n"/>
      <c r="F26" s="228" t="n">
        <v>1500</v>
      </c>
      <c r="G26" s="218" t="n"/>
      <c r="H26" s="396" t="n"/>
      <c r="I26" s="222" t="inlineStr">
        <is>
          <t xml:space="preserve">Layout </t>
        </is>
      </c>
      <c r="J26" s="395" t="inlineStr">
        <is>
          <t>Estructura, techos, drenaje, pisos reforzados</t>
        </is>
      </c>
      <c r="K26" s="379" t="n"/>
      <c r="L26" s="225" t="n"/>
      <c r="M26" s="77" t="n"/>
      <c r="N26" s="396" t="n"/>
      <c r="O26" s="222" t="n"/>
      <c r="P26" s="231" t="n"/>
      <c r="Q26" s="379" t="n"/>
      <c r="R26" s="225" t="n"/>
      <c r="S26" s="77" t="n"/>
      <c r="T26" s="77" t="n"/>
      <c r="U26" s="77" t="n"/>
    </row>
    <row r="27" ht="23.25" customHeight="1" s="360">
      <c r="A27" s="191" t="n"/>
      <c r="B27" s="396" t="n"/>
      <c r="C27" s="222" t="inlineStr">
        <is>
          <t>Ingeniería / diseño layout almacén</t>
        </is>
      </c>
      <c r="D27" s="392" t="inlineStr">
        <is>
          <t>Plano 7 zonas + flujos operativos</t>
        </is>
      </c>
      <c r="E27" s="379" t="n"/>
      <c r="F27" s="228" t="n">
        <v>1000</v>
      </c>
      <c r="G27" s="218" t="n"/>
      <c r="H27" s="396" t="n"/>
      <c r="I27" s="222" t="inlineStr">
        <is>
          <t>Oficinas y servicios complementarios</t>
        </is>
      </c>
      <c r="J27" s="395" t="inlineStr">
        <is>
          <t>Oficina PM, laboratorio QA, baños, almacén herramientas</t>
        </is>
      </c>
      <c r="K27" s="379" t="n"/>
      <c r="L27" s="225" t="n"/>
      <c r="M27" s="77" t="n"/>
      <c r="N27" s="396" t="n"/>
      <c r="O27" s="222" t="n"/>
      <c r="P27" s="231" t="n"/>
      <c r="Q27" s="379" t="n"/>
      <c r="R27" s="225" t="n"/>
      <c r="S27" s="77" t="n"/>
      <c r="T27" s="77" t="n"/>
      <c r="U27" s="77" t="n"/>
    </row>
    <row r="28" ht="23.25" customHeight="1" s="360">
      <c r="A28" s="191" t="n"/>
      <c r="B28" s="391" t="n"/>
      <c r="C28" s="222" t="inlineStr">
        <is>
          <t>Registro SUNAT + contabilidad inicial</t>
        </is>
      </c>
      <c r="D28" s="392" t="inlineStr">
        <is>
          <t>Cambio a RMT + contador 3 meses</t>
        </is>
      </c>
      <c r="E28" s="379" t="n"/>
      <c r="F28" s="228" t="n">
        <v>1500</v>
      </c>
      <c r="G28" s="218" t="n"/>
      <c r="H28" s="222" t="inlineStr">
        <is>
          <t>CAPEX – Equipos Principales</t>
        </is>
      </c>
      <c r="I28" s="222" t="inlineStr">
        <is>
          <t>Equipos de recepción/clasificación</t>
        </is>
      </c>
      <c r="J28" s="395" t="n"/>
      <c r="K28" s="379" t="n"/>
      <c r="L28" s="225" t="n"/>
      <c r="M28" s="77" t="n"/>
      <c r="N28" s="391" t="n"/>
      <c r="O28" s="222" t="n"/>
      <c r="P28" s="231" t="n"/>
      <c r="Q28" s="379" t="n"/>
      <c r="R28" s="225" t="n"/>
      <c r="S28" s="77" t="n"/>
      <c r="T28" s="77" t="n"/>
      <c r="U28" s="77" t="n"/>
    </row>
    <row r="29" ht="23.25" customHeight="1" s="360">
      <c r="A29" s="191" t="n"/>
      <c r="B29" s="222" t="inlineStr">
        <is>
          <t>Viajes y Logística</t>
        </is>
      </c>
      <c r="C29" s="222" t="inlineStr">
        <is>
          <t>Depósito nave (1 mes negociado)</t>
        </is>
      </c>
      <c r="D29" s="392" t="inlineStr">
        <is>
          <t>~900 m² Lima Norte. Negociar 1 mes vs. estándar 3.</t>
        </is>
      </c>
      <c r="E29" s="379" t="n"/>
      <c r="F29" s="228">
        <f>8100*1.18</f>
        <v/>
      </c>
      <c r="G29" s="218" t="n"/>
      <c r="H29" s="396" t="n"/>
      <c r="I29" s="222" t="inlineStr">
        <is>
          <t>Equipos de almacenamiento</t>
        </is>
      </c>
      <c r="J29" s="395" t="inlineStr">
        <is>
          <t>Básculas, cintas transportadoras, screening</t>
        </is>
      </c>
      <c r="K29" s="379" t="n"/>
      <c r="L29" s="225" t="n"/>
      <c r="M29" s="77" t="n"/>
      <c r="N29" s="222" t="inlineStr">
        <is>
          <t>Viajes y Logística</t>
        </is>
      </c>
      <c r="O29" s="222" t="n"/>
      <c r="P29" s="231" t="n"/>
      <c r="Q29" s="379" t="n"/>
      <c r="R29" s="225" t="n"/>
      <c r="S29" s="77" t="n"/>
      <c r="T29" s="77" t="n"/>
      <c r="U29" s="77" t="n"/>
    </row>
    <row r="30" ht="23.25" customHeight="1" s="360">
      <c r="A30" s="191" t="n"/>
      <c r="B30" s="391" t="n"/>
      <c r="C30" s="222" t="inlineStr">
        <is>
          <t>Adecuaciones básicas nave</t>
        </is>
      </c>
      <c r="D30" s="392" t="inlineStr">
        <is>
          <t>Demarcación 7 zonas, señalética INDECI, luminarias</t>
        </is>
      </c>
      <c r="E30" s="379" t="n"/>
      <c r="F30" s="228" t="n">
        <v>1500</v>
      </c>
      <c r="G30" s="218" t="n"/>
      <c r="H30" s="391" t="n"/>
      <c r="I30" s="222" t="inlineStr">
        <is>
          <t>Sistemas de control de calidad</t>
        </is>
      </c>
      <c r="J30" s="395" t="inlineStr">
        <is>
          <t>Equipos de medición, laboratorio QA básico</t>
        </is>
      </c>
      <c r="K30" s="379" t="n"/>
      <c r="L30" s="225" t="n"/>
      <c r="M30" s="77" t="n"/>
      <c r="N30" s="391" t="n"/>
      <c r="O30" s="222" t="n"/>
      <c r="P30" s="231" t="n"/>
      <c r="Q30" s="379" t="n"/>
      <c r="R30" s="225" t="n"/>
      <c r="S30" s="77" t="n"/>
      <c r="T30" s="77" t="n"/>
      <c r="U30" s="77" t="n"/>
    </row>
    <row r="31" ht="23.25" customHeight="1" s="360">
      <c r="A31" s="191" t="n"/>
      <c r="B31" s="222" t="inlineStr">
        <is>
          <t>Otros Costos</t>
        </is>
      </c>
      <c r="C31" s="222" t="inlineStr">
        <is>
          <t>Equipamiento operativo inicial</t>
        </is>
      </c>
      <c r="D31" s="392" t="inlineStr">
        <is>
          <t>Báscula 3t + 2 transpaletas + EPP</t>
        </is>
      </c>
      <c r="E31" s="379" t="n"/>
      <c r="F31" s="228" t="n">
        <v>2300</v>
      </c>
      <c r="G31" s="218" t="n"/>
      <c r="H31" s="222" t="inlineStr">
        <is>
          <t>CAPEX – Infraestructura</t>
        </is>
      </c>
      <c r="I31" s="222" t="inlineStr">
        <is>
          <t>Servicios (agua, energía, desagüe)</t>
        </is>
      </c>
      <c r="J31" s="395" t="inlineStr">
        <is>
          <t>Conexiones y acometidas</t>
        </is>
      </c>
      <c r="K31" s="379" t="n"/>
      <c r="L31" s="225" t="n"/>
      <c r="M31" s="77" t="n"/>
      <c r="N31" s="222" t="inlineStr">
        <is>
          <t>Otros Costos</t>
        </is>
      </c>
      <c r="O31" s="222" t="n"/>
      <c r="P31" s="231" t="n"/>
      <c r="Q31" s="379" t="n"/>
      <c r="R31" s="225" t="n"/>
      <c r="S31" s="77" t="n"/>
      <c r="T31" s="77" t="n"/>
      <c r="U31" s="77" t="n"/>
    </row>
    <row r="32" ht="23.25" customHeight="1" s="360">
      <c r="A32" s="191" t="n"/>
      <c r="B32" s="391" t="n"/>
      <c r="C32" s="222" t="inlineStr">
        <is>
          <t>Capital de trabajo ciclo de caja M1-M2</t>
        </is>
      </c>
      <c r="D32" s="392" t="inlineStr">
        <is>
          <t>Pago proveedores antes de cobrar cliente (30-45 días)</t>
        </is>
      </c>
      <c r="E32" s="379" t="n"/>
      <c r="F32" s="230" t="n">
        <v>0</v>
      </c>
      <c r="G32" s="218" t="n"/>
      <c r="H32" s="391" t="n"/>
      <c r="I32" s="222" t="inlineStr">
        <is>
          <t>Seguridad (CCTV, cercas, vigilancia)</t>
        </is>
      </c>
      <c r="J32" s="395" t="inlineStr">
        <is>
          <t>Sistemas de vigilancia y control de acceso</t>
        </is>
      </c>
      <c r="K32" s="379" t="n"/>
      <c r="L32" s="225" t="n"/>
      <c r="M32" s="77" t="n"/>
      <c r="N32" s="391" t="n"/>
      <c r="O32" s="222" t="n"/>
      <c r="P32" s="231" t="n"/>
      <c r="Q32" s="379" t="n"/>
      <c r="R32" s="225" t="n"/>
      <c r="S32" s="77" t="n"/>
      <c r="T32" s="77" t="n"/>
      <c r="U32" s="77" t="n"/>
    </row>
    <row r="33" ht="23.25" customHeight="1" s="360">
      <c r="A33" s="191" t="n"/>
      <c r="B33" s="222" t="n"/>
      <c r="C33" s="222" t="n"/>
      <c r="D33" s="231" t="n"/>
      <c r="E33" s="231" t="n"/>
      <c r="F33" s="232">
        <f>SUM(F25:F32)</f>
        <v/>
      </c>
      <c r="G33" s="218" t="n"/>
      <c r="H33" s="241" t="inlineStr">
        <is>
          <t>CAPEX – Softwares y Sistemas</t>
        </is>
      </c>
      <c r="I33" s="222" t="inlineStr">
        <is>
          <t>Sistema de gestión de inventario</t>
        </is>
      </c>
      <c r="J33" s="395" t="inlineStr">
        <is>
          <t>Software + implementación</t>
        </is>
      </c>
      <c r="K33" s="379" t="n"/>
      <c r="L33" s="225" t="n"/>
      <c r="M33" s="77" t="n"/>
      <c r="N33" s="222" t="n"/>
      <c r="O33" s="222" t="n"/>
      <c r="P33" s="231" t="n"/>
      <c r="Q33" s="231" t="n"/>
      <c r="R33" s="234">
        <f>SUM(R25:R32)</f>
        <v/>
      </c>
      <c r="S33" s="77" t="n"/>
      <c r="T33" s="77" t="n"/>
      <c r="U33" s="77" t="n"/>
    </row>
    <row r="34" ht="23.25" customHeight="1" s="360">
      <c r="A34" s="191" t="n"/>
      <c r="B34" s="235" t="inlineStr">
        <is>
          <t>⚠ Análisis de Gap</t>
        </is>
      </c>
      <c r="C34" s="77" t="inlineStr">
        <is>
          <t>Capital disponible (Alex+Raúl)</t>
        </is>
      </c>
      <c r="D34" s="77" t="inlineStr">
        <is>
          <t>Alex ~$15K + Raúl ~$5K (desde ago-2026)</t>
        </is>
      </c>
      <c r="E34" s="77" t="n"/>
      <c r="F34" s="109" t="n">
        <v>20000</v>
      </c>
      <c r="G34" s="77" t="n"/>
      <c r="H34" s="391" t="n"/>
      <c r="I34" s="222" t="inlineStr">
        <is>
          <t>Sistema de trazabilidad / tracking</t>
        </is>
      </c>
      <c r="J34" s="395" t="inlineStr">
        <is>
          <t>Integración con sistema Alex</t>
        </is>
      </c>
      <c r="K34" s="379" t="n"/>
      <c r="L34" s="225" t="n"/>
      <c r="M34" s="77" t="n"/>
      <c r="N34" s="248" t="inlineStr">
        <is>
          <t>Decision Criteria</t>
        </is>
      </c>
      <c r="O34" s="378" t="n"/>
      <c r="P34" s="378" t="n"/>
      <c r="Q34" s="378" t="n"/>
      <c r="R34" s="379" t="n"/>
      <c r="S34" s="77" t="n"/>
      <c r="T34" s="77" t="n"/>
      <c r="U34" s="77" t="n"/>
    </row>
    <row r="35" ht="34.5" customHeight="1" s="360">
      <c r="A35" s="191" t="n"/>
      <c r="B35" s="236" t="inlineStr">
        <is>
          <t>GAP = Capital disponible − CAPEX Stage 1</t>
        </is>
      </c>
      <c r="C35" s="77" t="inlineStr">
        <is>
          <t>Positivo = suficiente | Negativo = requiere financiamiento adicional</t>
        </is>
      </c>
      <c r="D35" s="77" t="n"/>
      <c r="E35" s="77" t="n"/>
      <c r="F35" s="162">
        <f>F34-F33</f>
        <v/>
      </c>
      <c r="G35" s="77" t="n"/>
      <c r="H35" s="241" t="inlineStr">
        <is>
          <t>OPEX Stage 2 (primeros 18 meses)</t>
        </is>
      </c>
      <c r="I35" s="222" t="inlineStr">
        <is>
          <t>Nómina (Site Manager, supervisores, operadores, QA)</t>
        </is>
      </c>
      <c r="J35" s="395" t="inlineStr">
        <is>
          <t>~15 personas, 18 meses</t>
        </is>
      </c>
      <c r="K35" s="379" t="n"/>
      <c r="L35" s="225" t="n"/>
      <c r="M35" s="77" t="n"/>
      <c r="N35" s="397" t="inlineStr">
        <is>
          <t>1. Strategic Impact</t>
        </is>
      </c>
      <c r="O35" s="378" t="n"/>
      <c r="P35" s="378" t="n"/>
      <c r="Q35" s="378" t="n"/>
      <c r="R35" s="379" t="n"/>
      <c r="S35" s="77" t="n"/>
      <c r="T35" s="77" t="n"/>
      <c r="U35" s="77" t="n"/>
    </row>
    <row r="36" ht="23.25" customHeight="1" s="360">
      <c r="A36" s="191" t="n"/>
      <c r="B36" s="398" t="inlineStr">
        <is>
          <t>¿Apoya la estrategia LatAm del grupo?</t>
        </is>
      </c>
      <c r="C36" s="378" t="n"/>
      <c r="D36" s="378" t="n"/>
      <c r="E36" s="379" t="n"/>
      <c r="F36" s="239" t="inlineStr">
        <is>
          <t>Grade (1-5)</t>
        </is>
      </c>
      <c r="G36" s="77" t="n"/>
      <c r="H36" s="396" t="n"/>
      <c r="I36" s="222" t="inlineStr">
        <is>
          <t>Servicios (agua, energía, internet, mantenimiento)</t>
        </is>
      </c>
      <c r="J36" s="395" t="inlineStr">
        <is>
          <t>Gastos operativos básicos</t>
        </is>
      </c>
      <c r="K36" s="379" t="n"/>
      <c r="L36" s="225" t="n"/>
      <c r="M36" s="77" t="n"/>
      <c r="N36" s="398" t="n"/>
      <c r="O36" s="378" t="n"/>
      <c r="P36" s="378" t="n"/>
      <c r="Q36" s="379" t="n"/>
      <c r="R36" s="239" t="inlineStr">
        <is>
          <t>Grade (1-5)</t>
        </is>
      </c>
      <c r="S36" s="77" t="n"/>
      <c r="T36" s="77" t="n"/>
      <c r="U36" s="77" t="n"/>
    </row>
    <row r="37" ht="26.25" customHeight="1" s="360">
      <c r="A37" s="191" t="n"/>
      <c r="B37" s="197" t="inlineStr">
        <is>
          <t xml:space="preserve">Factory "Amaru I" es prueba de concepto para replicar en 5–7 países. Validar en Perú es crítico.
</t>
        </is>
      </c>
      <c r="C37" s="378" t="n"/>
      <c r="D37" s="378" t="n"/>
      <c r="E37" s="379" t="n"/>
      <c r="F37" s="240" t="n">
        <v>5</v>
      </c>
      <c r="G37" s="77" t="n"/>
      <c r="H37" s="396" t="n"/>
      <c r="I37" s="222" t="inlineStr">
        <is>
          <t>Seguros y compliance</t>
        </is>
      </c>
      <c r="J37" s="395" t="inlineStr">
        <is>
          <t>Pólizas integrales, permisos anuales</t>
        </is>
      </c>
      <c r="K37" s="379" t="n"/>
      <c r="L37" s="225" t="n"/>
      <c r="M37" s="77" t="n"/>
      <c r="N37" s="197" t="n"/>
      <c r="O37" s="378" t="n"/>
      <c r="P37" s="378" t="n"/>
      <c r="Q37" s="379" t="n"/>
      <c r="R37" s="240" t="n">
        <v>5</v>
      </c>
      <c r="S37" s="77" t="n"/>
      <c r="T37" s="77" t="n"/>
      <c r="U37" s="77" t="n"/>
    </row>
    <row r="38" ht="23.25" customHeight="1" s="360">
      <c r="A38" s="191" t="n"/>
      <c r="B38" s="398" t="inlineStr">
        <is>
          <t>¿Refuerza la relación con el trader como cliente ancla?</t>
        </is>
      </c>
      <c r="C38" s="378" t="n"/>
      <c r="D38" s="378" t="n"/>
      <c r="E38" s="379" t="n"/>
      <c r="F38" s="239" t="inlineStr">
        <is>
          <t>Grade (1-5)</t>
        </is>
      </c>
      <c r="G38" s="77" t="n"/>
      <c r="H38" s="396" t="n"/>
      <c r="I38" s="222" t="inlineStr">
        <is>
          <t>Capacitación y entrenamientos</t>
        </is>
      </c>
      <c r="J38" s="395" t="inlineStr">
        <is>
          <t>Programas internos + externos</t>
        </is>
      </c>
      <c r="K38" s="379" t="n"/>
      <c r="L38" s="225" t="n"/>
      <c r="M38" s="77" t="n"/>
      <c r="N38" s="398" t="n"/>
      <c r="O38" s="378" t="n"/>
      <c r="P38" s="378" t="n"/>
      <c r="Q38" s="379" t="n"/>
      <c r="R38" s="239" t="inlineStr">
        <is>
          <t>Grade (1-5)</t>
        </is>
      </c>
      <c r="S38" s="77" t="n"/>
      <c r="T38" s="77" t="n"/>
      <c r="U38" s="77" t="n"/>
    </row>
    <row r="39" ht="23.25" customHeight="1" s="360">
      <c r="A39" s="191" t="n"/>
      <c r="B39" s="197" t="inlineStr">
        <is>
          <t>Planta resuelve problema estructural de Alex; lo "amarra" como cliente de largo plazo.</t>
        </is>
      </c>
      <c r="C39" s="378" t="n"/>
      <c r="D39" s="378" t="n"/>
      <c r="E39" s="379" t="n"/>
      <c r="F39" s="240" t="n">
        <v>5</v>
      </c>
      <c r="G39" s="77" t="n"/>
      <c r="H39" s="391" t="n"/>
      <c r="I39" s="222" t="inlineStr">
        <is>
          <t>Contingencia (10% del CAPEX)</t>
        </is>
      </c>
      <c r="J39" s="395" t="inlineStr">
        <is>
          <t>Buffer para imprevistos</t>
        </is>
      </c>
      <c r="K39" s="379" t="n"/>
      <c r="L39" s="225" t="n"/>
      <c r="M39" s="77" t="n"/>
      <c r="N39" s="197" t="n"/>
      <c r="O39" s="378" t="n"/>
      <c r="P39" s="378" t="n"/>
      <c r="Q39" s="379" t="n"/>
      <c r="R39" s="240" t="n">
        <v>5</v>
      </c>
      <c r="S39" s="77" t="n"/>
      <c r="T39" s="77" t="n"/>
      <c r="U39" s="77" t="n"/>
    </row>
    <row r="40" ht="15" customHeight="1" s="360">
      <c r="A40" s="191" t="n"/>
      <c r="B40" s="398" t="inlineStr">
        <is>
          <t>¿Genera aprendizaje industrial transferible?</t>
        </is>
      </c>
      <c r="C40" s="378" t="n"/>
      <c r="D40" s="378" t="n"/>
      <c r="E40" s="379" t="n"/>
      <c r="F40" s="239" t="inlineStr">
        <is>
          <t>Grade (1-5)</t>
        </is>
      </c>
      <c r="G40" s="77" t="n"/>
      <c r="H40" s="241" t="n"/>
      <c r="I40" s="222" t="n"/>
      <c r="J40" s="395" t="n"/>
      <c r="K40" s="379" t="n"/>
      <c r="L40" s="225" t="n"/>
      <c r="M40" s="77" t="n"/>
      <c r="N40" s="398" t="n"/>
      <c r="O40" s="378" t="n"/>
      <c r="P40" s="378" t="n"/>
      <c r="Q40" s="379" t="n"/>
      <c r="R40" s="239" t="inlineStr">
        <is>
          <t>Grade (1-5)</t>
        </is>
      </c>
      <c r="S40" s="77" t="n"/>
      <c r="T40" s="77" t="n"/>
      <c r="U40" s="77" t="n"/>
    </row>
    <row r="41" ht="19.5" customHeight="1" s="360">
      <c r="A41" s="191" t="n"/>
      <c r="B41" s="197" t="inlineStr">
        <is>
          <t>Procesos, layouts, sistemas operativos documentables y aplicables en otras plantas.</t>
        </is>
      </c>
      <c r="C41" s="378" t="n"/>
      <c r="D41" s="378" t="n"/>
      <c r="E41" s="379" t="n"/>
      <c r="F41" s="240" t="n">
        <v>5</v>
      </c>
      <c r="G41" s="77" t="n"/>
      <c r="H41" s="248" t="inlineStr">
        <is>
          <t>Decision Criteria</t>
        </is>
      </c>
      <c r="I41" s="378" t="n"/>
      <c r="J41" s="378" t="n"/>
      <c r="K41" s="378" t="n"/>
      <c r="L41" s="379" t="n"/>
      <c r="M41" s="77" t="n"/>
      <c r="N41" s="197" t="n"/>
      <c r="O41" s="378" t="n"/>
      <c r="P41" s="378" t="n"/>
      <c r="Q41" s="379" t="n"/>
      <c r="R41" s="240" t="n">
        <v>5</v>
      </c>
      <c r="S41" s="77" t="n"/>
      <c r="T41" s="77" t="n"/>
      <c r="U41" s="77" t="n"/>
    </row>
    <row r="42" ht="15" customHeight="1" s="360">
      <c r="A42" s="191" t="n"/>
      <c r="B42" s="397" t="inlineStr">
        <is>
          <t>2. Financial Impact</t>
        </is>
      </c>
      <c r="C42" s="378" t="n"/>
      <c r="D42" s="378" t="n"/>
      <c r="E42" s="378" t="n"/>
      <c r="F42" s="379" t="n"/>
      <c r="G42" s="77" t="n"/>
      <c r="H42" s="397" t="inlineStr">
        <is>
          <t>1. Strategic Impact</t>
        </is>
      </c>
      <c r="I42" s="378" t="n"/>
      <c r="J42" s="378" t="n"/>
      <c r="K42" s="378" t="n"/>
      <c r="L42" s="379" t="n"/>
      <c r="M42" s="77" t="n"/>
      <c r="N42" s="397" t="inlineStr">
        <is>
          <t>2. Financial Impact</t>
        </is>
      </c>
      <c r="O42" s="378" t="n"/>
      <c r="P42" s="378" t="n"/>
      <c r="Q42" s="378" t="n"/>
      <c r="R42" s="379" t="n"/>
      <c r="S42" s="77" t="n"/>
      <c r="T42" s="77" t="n"/>
      <c r="U42" s="77" t="n"/>
    </row>
    <row r="43" ht="15" customHeight="1" s="360">
      <c r="A43" s="191" t="n"/>
      <c r="B43" s="398" t="inlineStr">
        <is>
          <t>CAPEX dentro de límites presupuestarios</t>
        </is>
      </c>
      <c r="C43" s="378" t="n"/>
      <c r="D43" s="378" t="n"/>
      <c r="E43" s="379" t="n"/>
      <c r="F43" s="239" t="inlineStr">
        <is>
          <t>Grade (1-5)</t>
        </is>
      </c>
      <c r="G43" s="77" t="n"/>
      <c r="H43" s="398" t="inlineStr">
        <is>
          <t>Modelo operativo validado en terreno</t>
        </is>
      </c>
      <c r="I43" s="378" t="n"/>
      <c r="J43" s="378" t="n"/>
      <c r="K43" s="379" t="n"/>
      <c r="L43" s="239" t="inlineStr">
        <is>
          <t>Grade (1-5)</t>
        </is>
      </c>
      <c r="M43" s="77" t="n"/>
      <c r="N43" s="398" t="n"/>
      <c r="O43" s="378" t="n"/>
      <c r="P43" s="378" t="n"/>
      <c r="Q43" s="379" t="n"/>
      <c r="R43" s="239" t="inlineStr">
        <is>
          <t>Grade (1-5)</t>
        </is>
      </c>
      <c r="S43" s="77" t="n"/>
      <c r="T43" s="77" t="n"/>
      <c r="U43" s="77" t="n"/>
    </row>
    <row r="44" ht="19.5" customHeight="1" s="360">
      <c r="A44" s="191" t="n"/>
      <c r="B44" s="392" t="inlineStr">
        <is>
          <t>CAPEX Stage 1 realista: USD 20,500–22,500 (subarrendamiento+equip.). Sin subarrend.: USD 30,000–35,000.</t>
        </is>
      </c>
      <c r="C44" s="378" t="n"/>
      <c r="D44" s="378" t="n"/>
      <c r="E44" s="379" t="n"/>
      <c r="F44" s="240" t="n">
        <v>5</v>
      </c>
      <c r="G44" s="77" t="n"/>
      <c r="H44" s="197" t="inlineStr">
        <is>
          <t>¿Diseño y layout funcionan como se esperaba?</t>
        </is>
      </c>
      <c r="I44" s="378" t="n"/>
      <c r="J44" s="378" t="n"/>
      <c r="K44" s="379" t="n"/>
      <c r="L44" s="240" t="inlineStr">
        <is>
          <t>-</t>
        </is>
      </c>
      <c r="M44" s="77" t="n"/>
      <c r="N44" s="197" t="n"/>
      <c r="O44" s="378" t="n"/>
      <c r="P44" s="378" t="n"/>
      <c r="Q44" s="379" t="n"/>
      <c r="R44" s="240" t="n">
        <v>5</v>
      </c>
      <c r="S44" s="77" t="n"/>
      <c r="T44" s="77" t="n"/>
      <c r="U44" s="77" t="n"/>
    </row>
    <row r="45" ht="15" customHeight="1" s="360">
      <c r="A45" s="242" t="n"/>
      <c r="B45" s="398" t="inlineStr">
        <is>
          <t>IRR esperado &gt; 20%</t>
        </is>
      </c>
      <c r="C45" s="378" t="n"/>
      <c r="D45" s="378" t="n"/>
      <c r="E45" s="379" t="n"/>
      <c r="F45" s="243" t="inlineStr">
        <is>
          <t>Grade (1-5)</t>
        </is>
      </c>
      <c r="G45" s="33" t="n"/>
      <c r="H45" s="398" t="inlineStr">
        <is>
          <t>Clientes iniciales confirmados</t>
        </is>
      </c>
      <c r="I45" s="378" t="n"/>
      <c r="J45" s="378" t="n"/>
      <c r="K45" s="379" t="n"/>
      <c r="L45" s="239" t="inlineStr">
        <is>
          <t>Grade (1-5)</t>
        </is>
      </c>
      <c r="M45" s="33" t="n"/>
      <c r="N45" s="398" t="n"/>
      <c r="O45" s="378" t="n"/>
      <c r="P45" s="378" t="n"/>
      <c r="Q45" s="379" t="n"/>
      <c r="R45" s="243" t="inlineStr">
        <is>
          <t>Grade (1-5)</t>
        </is>
      </c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</row>
    <row r="46" ht="19.5" customHeight="1" s="360">
      <c r="A46" s="242" t="n"/>
      <c r="B46" s="399" t="inlineStr">
        <is>
          <t>IRR esperado 20–28% si modelo base cumple (80 t/mes desde mes 4, margen prom. $100/t). Sensible al volumen de Alex.</t>
        </is>
      </c>
      <c r="C46" s="378" t="n"/>
      <c r="D46" s="378" t="n"/>
      <c r="E46" s="379" t="n"/>
      <c r="F46" s="245" t="n">
        <v>4</v>
      </c>
      <c r="G46" s="33" t="n"/>
      <c r="H46" s="197" t="inlineStr">
        <is>
          <t>¿Alex volumen consistente? ¿Clientes alternativos identificados?</t>
        </is>
      </c>
      <c r="I46" s="378" t="n"/>
      <c r="J46" s="378" t="n"/>
      <c r="K46" s="379" t="n"/>
      <c r="L46" s="240" t="inlineStr">
        <is>
          <t>-</t>
        </is>
      </c>
      <c r="M46" s="33" t="n"/>
      <c r="N46" s="400" t="n"/>
      <c r="O46" s="378" t="n"/>
      <c r="P46" s="378" t="n"/>
      <c r="Q46" s="379" t="n"/>
      <c r="R46" s="245" t="n">
        <v>4</v>
      </c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</row>
    <row r="47" ht="15" customHeight="1" s="360">
      <c r="A47" s="191" t="n"/>
      <c r="B47" s="398" t="inlineStr">
        <is>
          <t>Payback estimado &lt; 4 años</t>
        </is>
      </c>
      <c r="C47" s="378" t="n"/>
      <c r="D47" s="378" t="n"/>
      <c r="E47" s="379" t="n"/>
      <c r="F47" s="239" t="inlineStr">
        <is>
          <t>Grade (1-5)</t>
        </is>
      </c>
      <c r="G47" s="77" t="n"/>
      <c r="H47" s="398" t="inlineStr">
        <is>
          <t>Capacidad de escala comprobada</t>
        </is>
      </c>
      <c r="I47" s="378" t="n"/>
      <c r="J47" s="378" t="n"/>
      <c r="K47" s="379" t="n"/>
      <c r="L47" s="239" t="inlineStr">
        <is>
          <t>Grade (1-5)</t>
        </is>
      </c>
      <c r="M47" s="77" t="n"/>
      <c r="N47" s="398" t="n"/>
      <c r="O47" s="378" t="n"/>
      <c r="P47" s="378" t="n"/>
      <c r="Q47" s="379" t="n"/>
      <c r="R47" s="239" t="inlineStr">
        <is>
          <t>Grade (1-5)</t>
        </is>
      </c>
      <c r="S47" s="77" t="n"/>
      <c r="T47" s="77" t="n"/>
      <c r="U47" s="77" t="n"/>
    </row>
    <row r="48" ht="19.5" customHeight="1" s="360">
      <c r="A48" s="191" t="n"/>
      <c r="B48" s="392" t="inlineStr">
        <is>
          <t>Payback: 8–12 meses (escenario 80 t/mes). Si volumen &lt; 50 t/mes primeros 3 meses: payback 15–18 meses.</t>
        </is>
      </c>
      <c r="C48" s="378" t="n"/>
      <c r="D48" s="378" t="n"/>
      <c r="E48" s="379" t="n"/>
      <c r="F48" s="240" t="n">
        <v>5</v>
      </c>
      <c r="G48" s="77" t="n"/>
      <c r="H48" s="197" t="inlineStr">
        <is>
          <t>¿Sistemas pueden absorber Fase 2 sin rediseños?</t>
        </is>
      </c>
      <c r="I48" s="378" t="n"/>
      <c r="J48" s="378" t="n"/>
      <c r="K48" s="379" t="n"/>
      <c r="L48" s="240" t="inlineStr">
        <is>
          <t>-</t>
        </is>
      </c>
      <c r="M48" s="77" t="n"/>
      <c r="N48" s="197" t="n"/>
      <c r="O48" s="378" t="n"/>
      <c r="P48" s="378" t="n"/>
      <c r="Q48" s="379" t="n"/>
      <c r="R48" s="240" t="n">
        <v>5</v>
      </c>
      <c r="S48" s="77" t="n"/>
      <c r="T48" s="77" t="n"/>
      <c r="U48" s="77" t="n"/>
    </row>
    <row r="49" ht="15" customHeight="1" s="360">
      <c r="A49" s="242" t="n"/>
      <c r="B49" s="398" t="inlineStr">
        <is>
          <t>Modelo sensible a supuestos críticos</t>
        </is>
      </c>
      <c r="C49" s="378" t="n"/>
      <c r="D49" s="378" t="n"/>
      <c r="E49" s="379" t="n"/>
      <c r="F49" s="243" t="inlineStr">
        <is>
          <t>Grade (1-5)</t>
        </is>
      </c>
      <c r="G49" s="33" t="n"/>
      <c r="H49" s="397" t="inlineStr">
        <is>
          <t>2. Financial Impact</t>
        </is>
      </c>
      <c r="I49" s="378" t="n"/>
      <c r="J49" s="378" t="n"/>
      <c r="K49" s="378" t="n"/>
      <c r="L49" s="379" t="n"/>
      <c r="M49" s="33" t="n"/>
      <c r="N49" s="398" t="n"/>
      <c r="O49" s="378" t="n"/>
      <c r="P49" s="378" t="n"/>
      <c r="Q49" s="379" t="n"/>
      <c r="R49" s="243" t="inlineStr">
        <is>
          <t>Grade (1-5)</t>
        </is>
      </c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</row>
    <row r="50" ht="19.5" customHeight="1" s="360">
      <c r="A50" s="242" t="n"/>
      <c r="B50" s="399" t="inlineStr">
        <is>
          <t>Depende del volumen Alex (mín. 50 t/mes operativo, target 100 t/mes) y margen por material ($95-130/t). Requiere compromiso escrito.</t>
        </is>
      </c>
      <c r="C50" s="378" t="n"/>
      <c r="D50" s="378" t="n"/>
      <c r="E50" s="379" t="n"/>
      <c r="F50" s="245" t="n">
        <v>3</v>
      </c>
      <c r="G50" s="33" t="n"/>
      <c r="H50" s="398" t="inlineStr">
        <is>
          <t>IRR Fase 1 realizado vs. proyectado</t>
        </is>
      </c>
      <c r="I50" s="378" t="n"/>
      <c r="J50" s="378" t="n"/>
      <c r="K50" s="379" t="n"/>
      <c r="L50" s="239" t="inlineStr">
        <is>
          <t>Grade (1-5)</t>
        </is>
      </c>
      <c r="M50" s="33" t="n"/>
      <c r="N50" s="401" t="n"/>
      <c r="O50" s="378" t="n"/>
      <c r="P50" s="378" t="n"/>
      <c r="Q50" s="379" t="n"/>
      <c r="R50" s="245" t="n">
        <v>3</v>
      </c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</row>
    <row r="51" ht="19.5" customHeight="1" s="360">
      <c r="A51" s="191" t="n"/>
      <c r="B51" s="397" t="inlineStr">
        <is>
          <t>3. Execution risk</t>
        </is>
      </c>
      <c r="C51" s="378" t="n"/>
      <c r="D51" s="378" t="n"/>
      <c r="E51" s="378" t="n"/>
      <c r="F51" s="379" t="n"/>
      <c r="G51" s="77" t="n"/>
      <c r="H51" s="197" t="inlineStr">
        <is>
          <t>¿Se logró margen 5–10 USD/ton? ¿Márgenes operativos positivos?</t>
        </is>
      </c>
      <c r="I51" s="378" t="n"/>
      <c r="J51" s="378" t="n"/>
      <c r="K51" s="379" t="n"/>
      <c r="L51" s="240" t="inlineStr">
        <is>
          <t>-</t>
        </is>
      </c>
      <c r="M51" s="77" t="n"/>
      <c r="N51" s="397" t="inlineStr">
        <is>
          <t>3. Execution risk</t>
        </is>
      </c>
      <c r="O51" s="378" t="n"/>
      <c r="P51" s="378" t="n"/>
      <c r="Q51" s="378" t="n"/>
      <c r="R51" s="379" t="n"/>
      <c r="S51" s="77" t="n"/>
      <c r="T51" s="77" t="n"/>
      <c r="U51" s="77" t="n"/>
    </row>
    <row r="52" ht="15" customHeight="1" s="360">
      <c r="A52" s="191" t="n"/>
      <c r="B52" s="398" t="inlineStr">
        <is>
          <t>Equipo tiene capacidad</t>
        </is>
      </c>
      <c r="C52" s="378" t="n"/>
      <c r="D52" s="378" t="n"/>
      <c r="E52" s="379" t="n"/>
      <c r="F52" s="239" t="inlineStr">
        <is>
          <t>Grade (1-5)</t>
        </is>
      </c>
      <c r="G52" s="77" t="n"/>
      <c r="H52" s="398" t="inlineStr">
        <is>
          <t>Volumen procesado sustentable</t>
        </is>
      </c>
      <c r="I52" s="378" t="n"/>
      <c r="J52" s="378" t="n"/>
      <c r="K52" s="379" t="n"/>
      <c r="L52" s="243" t="inlineStr">
        <is>
          <t>Grade (1-5)</t>
        </is>
      </c>
      <c r="M52" s="77" t="n"/>
      <c r="N52" s="398" t="n"/>
      <c r="O52" s="378" t="n"/>
      <c r="P52" s="378" t="n"/>
      <c r="Q52" s="379" t="n"/>
      <c r="R52" s="239" t="inlineStr">
        <is>
          <t>Grade (1-5)</t>
        </is>
      </c>
      <c r="S52" s="77" t="n"/>
      <c r="T52" s="77" t="n"/>
      <c r="U52" s="77" t="n"/>
    </row>
    <row r="53" ht="19.5" customHeight="1" s="360">
      <c r="A53" s="191" t="n"/>
      <c r="B53" s="197" t="inlineStr">
        <is>
          <t>Raúl probado en industria; asesores identificables localmente</t>
        </is>
      </c>
      <c r="C53" s="378" t="n"/>
      <c r="D53" s="378" t="n"/>
      <c r="E53" s="379" t="n"/>
      <c r="F53" s="240" t="n">
        <v>4</v>
      </c>
      <c r="G53" s="77" t="n"/>
      <c r="H53" s="400" t="inlineStr">
        <is>
          <t>¿Operación alcanzó 400+ ton/mes consistente?</t>
        </is>
      </c>
      <c r="I53" s="378" t="n"/>
      <c r="J53" s="378" t="n"/>
      <c r="K53" s="379" t="n"/>
      <c r="L53" s="245" t="inlineStr">
        <is>
          <t>-</t>
        </is>
      </c>
      <c r="M53" s="77" t="n"/>
      <c r="N53" s="197" t="n"/>
      <c r="O53" s="378" t="n"/>
      <c r="P53" s="378" t="n"/>
      <c r="Q53" s="379" t="n"/>
      <c r="R53" s="240" t="n">
        <v>4</v>
      </c>
      <c r="S53" s="77" t="n"/>
      <c r="T53" s="77" t="n"/>
      <c r="U53" s="77" t="n"/>
    </row>
    <row r="54" ht="15" customHeight="1" s="360">
      <c r="A54" s="242" t="n"/>
      <c r="B54" s="398" t="inlineStr">
        <is>
          <t>Riesgos regulatorios mapeados</t>
        </is>
      </c>
      <c r="C54" s="378" t="n"/>
      <c r="D54" s="378" t="n"/>
      <c r="E54" s="379" t="n"/>
      <c r="F54" s="243" t="inlineStr">
        <is>
          <t>Grade (1-5)</t>
        </is>
      </c>
      <c r="G54" s="33" t="n"/>
      <c r="H54" s="398" t="inlineStr">
        <is>
          <t>Capex Fase 1 dentro de presupuesto</t>
        </is>
      </c>
      <c r="I54" s="378" t="n"/>
      <c r="J54" s="378" t="n"/>
      <c r="K54" s="379" t="n"/>
      <c r="L54" s="239" t="inlineStr">
        <is>
          <t>Grade (1-5)</t>
        </is>
      </c>
      <c r="M54" s="33" t="n"/>
      <c r="N54" s="398" t="n"/>
      <c r="O54" s="378" t="n"/>
      <c r="P54" s="378" t="n"/>
      <c r="Q54" s="379" t="n"/>
      <c r="R54" s="243" t="inlineStr">
        <is>
          <t>Grade (1-5)</t>
        </is>
      </c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</row>
    <row r="55" ht="19.5" customHeight="1" s="360">
      <c r="A55" s="242" t="n"/>
      <c r="B55" s="401" t="inlineStr">
        <is>
          <t>EIA como riesgo crítico (6–12 meses). Plan de mitigación activo.</t>
        </is>
      </c>
      <c r="C55" s="378" t="n"/>
      <c r="D55" s="378" t="n"/>
      <c r="E55" s="379" t="n"/>
      <c r="F55" s="245" t="n">
        <v>3</v>
      </c>
      <c r="G55" s="33" t="n"/>
      <c r="H55" s="197" t="inlineStr">
        <is>
          <t>¿Sobrecostos &lt; 10%?</t>
        </is>
      </c>
      <c r="I55" s="378" t="n"/>
      <c r="J55" s="378" t="n"/>
      <c r="K55" s="379" t="n"/>
      <c r="L55" s="240" t="inlineStr">
        <is>
          <t>-</t>
        </is>
      </c>
      <c r="M55" s="33" t="n"/>
      <c r="N55" s="401" t="n"/>
      <c r="O55" s="378" t="n"/>
      <c r="P55" s="378" t="n"/>
      <c r="Q55" s="379" t="n"/>
      <c r="R55" s="245" t="n">
        <v>3</v>
      </c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</row>
    <row r="56" ht="15" customHeight="1" s="360">
      <c r="A56" s="242" t="n"/>
      <c r="B56" s="398" t="inlineStr">
        <is>
          <t>Riesgo de socio manejable</t>
        </is>
      </c>
      <c r="C56" s="378" t="n"/>
      <c r="D56" s="378" t="n"/>
      <c r="E56" s="379" t="n"/>
      <c r="F56" s="239" t="inlineStr">
        <is>
          <t>Grade (1-5)</t>
        </is>
      </c>
      <c r="G56" s="33" t="n"/>
      <c r="H56" s="397" t="inlineStr">
        <is>
          <t>3. Execution risk</t>
        </is>
      </c>
      <c r="I56" s="378" t="n"/>
      <c r="J56" s="378" t="n"/>
      <c r="K56" s="378" t="n"/>
      <c r="L56" s="379" t="n"/>
      <c r="M56" s="33" t="n"/>
      <c r="N56" s="398" t="n"/>
      <c r="O56" s="378" t="n"/>
      <c r="P56" s="378" t="n"/>
      <c r="Q56" s="379" t="n"/>
      <c r="R56" s="239" t="inlineStr">
        <is>
          <t>Grade (1-5)</t>
        </is>
      </c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</row>
    <row r="57" ht="19.5" customHeight="1" s="360">
      <c r="A57" s="242" t="n"/>
      <c r="B57" s="197" t="inlineStr">
        <is>
          <t>Alex requiere MOU claro; governance formal mitigable</t>
        </is>
      </c>
      <c r="C57" s="378" t="n"/>
      <c r="D57" s="378" t="n"/>
      <c r="E57" s="379" t="n"/>
      <c r="F57" s="240" t="n">
        <v>3</v>
      </c>
      <c r="G57" s="33" t="n"/>
      <c r="H57" s="398" t="inlineStr">
        <is>
          <t>¿Diseño y layout validados en operación?</t>
        </is>
      </c>
      <c r="I57" s="378" t="n"/>
      <c r="J57" s="378" t="n"/>
      <c r="K57" s="379" t="n"/>
      <c r="L57" s="239" t="inlineStr">
        <is>
          <t>Grade (1-5)</t>
        </is>
      </c>
      <c r="M57" s="33" t="n"/>
      <c r="N57" s="197" t="n"/>
      <c r="O57" s="378" t="n"/>
      <c r="P57" s="378" t="n"/>
      <c r="Q57" s="379" t="n"/>
      <c r="R57" s="240" t="n">
        <v>3</v>
      </c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</row>
    <row r="58" ht="19.5" customHeight="1" s="360">
      <c r="A58" s="242" t="n"/>
      <c r="B58" s="398" t="inlineStr">
        <is>
          <t>Timeline realista con buffers</t>
        </is>
      </c>
      <c r="C58" s="378" t="n"/>
      <c r="D58" s="378" t="n"/>
      <c r="E58" s="379" t="n"/>
      <c r="F58" s="243" t="inlineStr">
        <is>
          <t>Grade (1-5)</t>
        </is>
      </c>
      <c r="G58" s="33" t="n"/>
      <c r="H58" s="197" t="inlineStr">
        <is>
          <t>¿Flujos de material optimizados? ¿Cuello de botellas resueltos?</t>
        </is>
      </c>
      <c r="I58" s="378" t="n"/>
      <c r="J58" s="378" t="n"/>
      <c r="K58" s="379" t="n"/>
      <c r="L58" s="240" t="inlineStr">
        <is>
          <t>-</t>
        </is>
      </c>
      <c r="M58" s="33" t="n"/>
      <c r="N58" s="398" t="n"/>
      <c r="O58" s="378" t="n"/>
      <c r="P58" s="378" t="n"/>
      <c r="Q58" s="379" t="n"/>
      <c r="R58" s="243" t="inlineStr">
        <is>
          <t>Grade (1-5)</t>
        </is>
      </c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</row>
    <row r="59" ht="19.5" customHeight="1" s="360">
      <c r="A59" s="242" t="n"/>
      <c r="B59" s="401" t="inlineStr">
        <is>
          <t>Permisos realistas con buffer 6–12 meses; Fase 1 SOP mes 13–14.</t>
        </is>
      </c>
      <c r="C59" s="378" t="n"/>
      <c r="D59" s="378" t="n"/>
      <c r="E59" s="379" t="n"/>
      <c r="F59" s="245" t="n">
        <v>4</v>
      </c>
      <c r="G59" s="33" t="n"/>
      <c r="H59" s="398" t="inlineStr">
        <is>
          <t>¿Equipos operan sin fallas críticas?</t>
        </is>
      </c>
      <c r="I59" s="378" t="n"/>
      <c r="J59" s="378" t="n"/>
      <c r="K59" s="379" t="n"/>
      <c r="L59" s="243" t="inlineStr">
        <is>
          <t>Grade (1-5)</t>
        </is>
      </c>
      <c r="M59" s="33" t="n"/>
      <c r="N59" s="401" t="n"/>
      <c r="O59" s="378" t="n"/>
      <c r="P59" s="378" t="n"/>
      <c r="Q59" s="379" t="n"/>
      <c r="R59" s="245" t="n">
        <v>4</v>
      </c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</row>
    <row r="60" ht="19.5" customHeight="1" s="360">
      <c r="A60" s="191" t="n"/>
      <c r="B60" s="248" t="inlineStr">
        <is>
          <t>Riesgos</t>
        </is>
      </c>
      <c r="C60" s="250" t="inlineStr">
        <is>
          <t xml:space="preserve">Mitigaciones </t>
        </is>
      </c>
      <c r="D60" s="378" t="n"/>
      <c r="E60" s="379" t="n"/>
      <c r="F60" s="250" t="inlineStr">
        <is>
          <t>Notes</t>
        </is>
      </c>
      <c r="G60" s="77" t="n"/>
      <c r="H60" s="401" t="inlineStr">
        <is>
          <t>¿Uptimes &gt; 90%? ¿Mantenimiento controlado?</t>
        </is>
      </c>
      <c r="I60" s="378" t="n"/>
      <c r="J60" s="378" t="n"/>
      <c r="K60" s="379" t="n"/>
      <c r="L60" s="245" t="inlineStr">
        <is>
          <t>-</t>
        </is>
      </c>
      <c r="M60" s="77" t="n"/>
      <c r="N60" s="248" t="inlineStr">
        <is>
          <t>Riesgos</t>
        </is>
      </c>
      <c r="O60" s="250" t="inlineStr">
        <is>
          <t xml:space="preserve">Mitigaciones </t>
        </is>
      </c>
      <c r="P60" s="378" t="n"/>
      <c r="Q60" s="379" t="n"/>
      <c r="R60" s="250" t="inlineStr">
        <is>
          <t>Notes</t>
        </is>
      </c>
      <c r="S60" s="77" t="n"/>
      <c r="T60" s="77" t="n"/>
      <c r="U60" s="77" t="n"/>
    </row>
    <row r="61" ht="15" customHeight="1" s="360">
      <c r="A61" s="191" t="n"/>
      <c r="B61" s="251" t="inlineStr">
        <is>
          <t>R-001: Retraso EIA</t>
        </is>
      </c>
      <c r="C61" s="252" t="inlineStr">
        <is>
          <t>Crítico (retrasa SOP)</t>
        </is>
      </c>
      <c r="F61" s="252" t="inlineStr">
        <is>
          <t>Crítico (retrasa SOP)</t>
        </is>
      </c>
      <c r="G61" s="77" t="n"/>
      <c r="H61" s="398" t="inlineStr">
        <is>
          <t>¿Calidad de producto consistente?</t>
        </is>
      </c>
      <c r="I61" s="378" t="n"/>
      <c r="J61" s="378" t="n"/>
      <c r="K61" s="379" t="n"/>
      <c r="L61" s="239" t="inlineStr">
        <is>
          <t>Grade (1-5)</t>
        </is>
      </c>
      <c r="M61" s="77" t="n"/>
      <c r="N61" s="251" t="n"/>
      <c r="O61" s="252" t="n"/>
      <c r="R61" s="252" t="n"/>
      <c r="S61" s="77" t="n"/>
      <c r="T61" s="77" t="n"/>
      <c r="U61" s="77" t="n"/>
    </row>
    <row r="62" ht="34.5" customHeight="1" s="360">
      <c r="A62" s="191" t="n"/>
      <c r="B62" s="252" t="inlineStr">
        <is>
          <t>R-002: EC-RS no iniciado — CRÍTICO 🔴</t>
        </is>
      </c>
      <c r="C62" s="252" t="inlineStr">
        <is>
          <t>ACCIÓN INMEDIATA: contratar consultor ambiental Lima (S/3,500-5,000). Abrir cuenta SIGERSOL. Redactar Plan de Manejo de Residuos Sólidos. 60-90 días proceso.</t>
        </is>
      </c>
      <c r="F62" s="252" t="inlineStr">
        <is>
          <t>🔴 CRÍTICO — bloquea operación legal</t>
        </is>
      </c>
      <c r="G62" s="77" t="n"/>
      <c r="H62" s="197" t="inlineStr">
        <is>
          <t>¿Rechazo &lt; 10%? ¿Clientes satisfechos?</t>
        </is>
      </c>
      <c r="I62" s="378" t="n"/>
      <c r="J62" s="378" t="n"/>
      <c r="K62" s="379" t="n"/>
      <c r="L62" s="240" t="inlineStr">
        <is>
          <t>-</t>
        </is>
      </c>
      <c r="M62" s="77" t="n"/>
      <c r="N62" s="251" t="n"/>
      <c r="O62" s="252" t="n"/>
      <c r="R62" s="252" t="n"/>
      <c r="S62" s="77" t="n"/>
      <c r="T62" s="77" t="n"/>
      <c r="U62" s="77" t="n"/>
    </row>
    <row r="63" ht="23.25" customHeight="1" s="360">
      <c r="A63" s="191" t="n"/>
      <c r="B63" s="252" t="inlineStr">
        <is>
          <t>R-003: Gap de capital sin resolver</t>
        </is>
      </c>
      <c r="C63" s="252" t="inlineStr">
        <is>
          <t>Combinar: subarrendamiento + préstamo entre socios (notaría) + negociación depósito. No firmar nave sin cerrar gap.</t>
        </is>
      </c>
      <c r="F63" s="252" t="inlineStr">
        <is>
          <t>Alto — retrasa SOP indefinidamente</t>
        </is>
      </c>
      <c r="G63" s="77" t="n"/>
      <c r="H63" s="397" t="inlineStr">
        <is>
          <t>4. Partner Readiness</t>
        </is>
      </c>
      <c r="I63" s="378" t="n"/>
      <c r="J63" s="378" t="n"/>
      <c r="K63" s="378" t="n"/>
      <c r="L63" s="379" t="n"/>
      <c r="M63" s="77" t="n"/>
      <c r="N63" s="251" t="n"/>
      <c r="O63" s="252" t="n"/>
      <c r="R63" s="252" t="n"/>
      <c r="S63" s="77" t="n"/>
      <c r="T63" s="77" t="n"/>
      <c r="U63" s="77" t="n"/>
    </row>
    <row r="64" ht="23.25" customHeight="1" s="360">
      <c r="A64" s="191" t="n"/>
      <c r="B64" s="252" t="inlineStr">
        <is>
          <t>R-004: Sin compromiso escrito de volumen (Alex)</t>
        </is>
      </c>
      <c r="C64" s="252" t="inlineStr">
        <is>
          <t>Formalizar carta compromiso mínimo volumen (X ton/mes, 12 meses). Sin esto el modelo financiero es inválido.</t>
        </is>
      </c>
      <c r="F64" s="252" t="inlineStr">
        <is>
          <t>Alto — modelo financiero depende de esto</t>
        </is>
      </c>
      <c r="G64" s="77" t="n"/>
      <c r="H64" s="398" t="inlineStr">
        <is>
          <t>¿Contrato de suministro con trader firmado (volúmenes)?</t>
        </is>
      </c>
      <c r="I64" s="378" t="n"/>
      <c r="J64" s="378" t="n"/>
      <c r="K64" s="379" t="n"/>
      <c r="L64" s="239" t="inlineStr">
        <is>
          <t>Grade (1-5)</t>
        </is>
      </c>
      <c r="M64" s="77" t="n"/>
      <c r="N64" s="251" t="n"/>
      <c r="O64" s="252" t="n"/>
      <c r="R64" s="252" t="n"/>
      <c r="S64" s="77" t="n"/>
      <c r="T64" s="77" t="n"/>
      <c r="U64" s="77" t="n"/>
    </row>
    <row r="65" ht="19.5" customHeight="1" s="360">
      <c r="A65" s="191" t="n"/>
      <c r="B65" s="253" t="n"/>
      <c r="C65" s="253" t="n"/>
      <c r="D65" s="402" t="n"/>
      <c r="E65" s="403" t="n"/>
      <c r="F65" s="253" t="n"/>
      <c r="G65" s="77" t="n"/>
      <c r="H65" s="404" t="inlineStr">
        <is>
          <t>¿Alex garantiza 500+ ton/mes mínimo? ¿Contrato activo durante Fase 1?</t>
        </is>
      </c>
      <c r="I65" s="378" t="n"/>
      <c r="J65" s="378" t="n"/>
      <c r="K65" s="379" t="n"/>
      <c r="L65" s="240" t="inlineStr">
        <is>
          <t>-</t>
        </is>
      </c>
      <c r="M65" s="77" t="n"/>
      <c r="N65" s="253" t="n"/>
      <c r="O65" s="253" t="n"/>
      <c r="P65" s="402" t="n"/>
      <c r="Q65" s="403" t="n"/>
      <c r="R65" s="253" t="n"/>
      <c r="S65" s="77" t="n"/>
      <c r="T65" s="77" t="n"/>
      <c r="U65" s="77" t="n"/>
    </row>
    <row r="66" ht="15" customHeight="1" s="360">
      <c r="A66" s="191" t="n"/>
      <c r="B66" s="253" t="n"/>
      <c r="C66" s="253" t="n"/>
      <c r="D66" s="402" t="n"/>
      <c r="E66" s="403" t="n"/>
      <c r="F66" s="253" t="n"/>
      <c r="G66" s="77" t="n"/>
      <c r="H66" s="398" t="inlineStr">
        <is>
          <t>¿Relación con Alex operativamente sólida?</t>
        </is>
      </c>
      <c r="I66" s="378" t="n"/>
      <c r="J66" s="378" t="n"/>
      <c r="K66" s="379" t="n"/>
      <c r="L66" s="243" t="inlineStr">
        <is>
          <t>Grade (1-5)</t>
        </is>
      </c>
      <c r="M66" s="77" t="n"/>
      <c r="N66" s="253" t="n"/>
      <c r="O66" s="253" t="n"/>
      <c r="P66" s="402" t="n"/>
      <c r="Q66" s="403" t="n"/>
      <c r="R66" s="253" t="n"/>
      <c r="S66" s="77" t="n"/>
      <c r="T66" s="77" t="n"/>
      <c r="U66" s="77" t="n"/>
    </row>
    <row r="67" ht="19.5" customHeight="1" s="360">
      <c r="A67" s="191" t="n"/>
      <c r="B67" s="397" t="inlineStr">
        <is>
          <t>Final project grade</t>
        </is>
      </c>
      <c r="C67" s="378" t="n"/>
      <c r="D67" s="378" t="n"/>
      <c r="E67" s="378" t="n"/>
      <c r="F67" s="379" t="n"/>
      <c r="G67" s="77" t="n"/>
      <c r="H67" s="401" t="inlineStr">
        <is>
          <t>¿Comunicación fluida? ¿Conflictos resueltos?</t>
        </is>
      </c>
      <c r="I67" s="378" t="n"/>
      <c r="J67" s="378" t="n"/>
      <c r="K67" s="379" t="n"/>
      <c r="L67" s="245" t="inlineStr">
        <is>
          <t>-</t>
        </is>
      </c>
      <c r="M67" s="77" t="n"/>
      <c r="N67" s="397" t="inlineStr">
        <is>
          <t>Final project grade</t>
        </is>
      </c>
      <c r="O67" s="378" t="n"/>
      <c r="P67" s="378" t="n"/>
      <c r="Q67" s="378" t="n"/>
      <c r="R67" s="379" t="n"/>
      <c r="S67" s="77" t="n"/>
      <c r="T67" s="77" t="n"/>
      <c r="U67" s="77" t="n"/>
    </row>
    <row r="68" ht="19.5" customHeight="1" s="360">
      <c r="A68" s="191" t="n"/>
      <c r="B68" s="405">
        <f>AVERAGE(F37,F39,F41,F44,F46,F39,F48,F50,F53,F55,F57,F59)</f>
        <v/>
      </c>
      <c r="C68" s="378" t="n"/>
      <c r="D68" s="378" t="n"/>
      <c r="E68" s="378" t="n"/>
      <c r="F68" s="379" t="n"/>
      <c r="G68" s="77" t="n"/>
      <c r="H68" s="398" t="inlineStr">
        <is>
          <t>¿Clientes alternativos identificados y comprometidos?</t>
        </is>
      </c>
      <c r="I68" s="378" t="n"/>
      <c r="J68" s="378" t="n"/>
      <c r="K68" s="379" t="n"/>
      <c r="L68" s="239" t="inlineStr">
        <is>
          <t>Grade (1-5)</t>
        </is>
      </c>
      <c r="M68" s="77" t="n"/>
      <c r="N68" s="405">
        <f>AVERAGE(R37,R39,R41,R44,R46,R39,R48,R50,R53,R55,R57,R59)</f>
        <v/>
      </c>
      <c r="O68" s="378" t="n"/>
      <c r="P68" s="378" t="n"/>
      <c r="Q68" s="378" t="n"/>
      <c r="R68" s="379" t="n"/>
      <c r="S68" s="77" t="n"/>
      <c r="T68" s="77" t="n"/>
      <c r="U68" s="77" t="n"/>
    </row>
    <row r="69" ht="51.75" customHeight="1" s="360">
      <c r="A69" s="191" t="n"/>
      <c r="B69" s="195" t="inlineStr">
        <is>
          <t>Obstacles - opportunities - risks</t>
        </is>
      </c>
      <c r="C69" s="197" t="inlineStr">
        <is>
          <t xml:space="preserve">Stage 1 ha acumulado suficiente información para justificar inversión en Stage 2.
Riesgos críticos (EIA, Alex, CAPEX) están mapeados con planes de mitigación.
Condición crítica para avanzar: MOU con Alex debe estar firmado antes del 15 Febrero 2026.
</t>
        </is>
      </c>
      <c r="D69" s="378" t="n"/>
      <c r="E69" s="378" t="n"/>
      <c r="F69" s="379" t="n"/>
      <c r="G69" s="77" t="n"/>
      <c r="H69" s="197" t="inlineStr">
        <is>
          <t>¿Mínimo 1 cliente adicional con LOI?</t>
        </is>
      </c>
      <c r="I69" s="378" t="n"/>
      <c r="J69" s="378" t="n"/>
      <c r="K69" s="379" t="n"/>
      <c r="L69" s="240" t="inlineStr">
        <is>
          <t>-</t>
        </is>
      </c>
      <c r="M69" s="77" t="n"/>
      <c r="N69" s="195" t="inlineStr">
        <is>
          <t>Obstacles - opportunities - risks</t>
        </is>
      </c>
      <c r="O69" s="197" t="n"/>
      <c r="P69" s="378" t="n"/>
      <c r="Q69" s="378" t="n"/>
      <c r="R69" s="379" t="n"/>
      <c r="S69" s="77" t="n"/>
      <c r="T69" s="77" t="n"/>
      <c r="U69" s="77" t="n"/>
    </row>
    <row r="70" ht="39" customHeight="1" s="360">
      <c r="A70" s="191" t="n"/>
      <c r="B70" s="198" t="inlineStr">
        <is>
          <t>Final Decision</t>
        </is>
      </c>
      <c r="C70" s="406" t="inlineStr">
        <is>
          <t>Go</t>
        </is>
      </c>
      <c r="D70" s="407" t="n"/>
      <c r="E70" s="198" t="inlineStr">
        <is>
          <t>Signature by
Business Team representative</t>
        </is>
      </c>
      <c r="F70" s="199" t="inlineStr">
        <is>
          <t>Raul</t>
        </is>
      </c>
      <c r="G70" s="77" t="n"/>
      <c r="H70" s="248" t="inlineStr">
        <is>
          <t>Riesgos</t>
        </is>
      </c>
      <c r="I70" s="250" t="inlineStr">
        <is>
          <t xml:space="preserve">Mitigaciones </t>
        </is>
      </c>
      <c r="J70" s="378" t="n"/>
      <c r="K70" s="379" t="n"/>
      <c r="L70" s="250" t="inlineStr">
        <is>
          <t>Notes</t>
        </is>
      </c>
      <c r="M70" s="77" t="n"/>
      <c r="N70" s="195" t="inlineStr">
        <is>
          <t>Final Decision</t>
        </is>
      </c>
      <c r="O70" s="408" t="inlineStr">
        <is>
          <t>Go</t>
        </is>
      </c>
      <c r="P70" s="379" t="n"/>
      <c r="Q70" s="195" t="inlineStr">
        <is>
          <t>Signature by
Business Team representative</t>
        </is>
      </c>
      <c r="R70" s="197" t="inlineStr">
        <is>
          <t>Raul</t>
        </is>
      </c>
      <c r="S70" s="77" t="n"/>
      <c r="T70" s="77" t="n"/>
      <c r="U70" s="77" t="n"/>
    </row>
    <row r="71" ht="23.25" customHeight="1" s="360">
      <c r="A71" s="191" t="n"/>
      <c r="B71" s="77" t="n"/>
      <c r="C71" s="77" t="n"/>
      <c r="D71" s="77" t="n"/>
      <c r="E71" s="77" t="n"/>
      <c r="F71" s="77" t="n"/>
      <c r="G71" s="77" t="n"/>
      <c r="H71" s="262" t="inlineStr">
        <is>
          <t>Riesgos país y seguridad controlados</t>
        </is>
      </c>
      <c r="I71" s="264" t="inlineStr">
        <is>
          <t>¿Incidentes de seguridad &lt; esperado? ¿Entorno político estable?</t>
        </is>
      </c>
      <c r="J71" s="378" t="n"/>
      <c r="K71" s="379" t="n"/>
      <c r="L71" s="264" t="n"/>
      <c r="M71" s="77" t="n"/>
      <c r="N71" s="77" t="n"/>
      <c r="O71" s="77" t="n"/>
      <c r="P71" s="77" t="n"/>
      <c r="Q71" s="77" t="n"/>
      <c r="R71" s="77" t="n"/>
      <c r="S71" s="77" t="n"/>
      <c r="T71" s="77" t="n"/>
      <c r="U71" s="77" t="n"/>
    </row>
    <row r="72" ht="15" customHeight="1" s="360">
      <c r="A72" s="191" t="n"/>
      <c r="B72" s="77" t="n"/>
      <c r="C72" s="77" t="n"/>
      <c r="D72" s="77" t="n"/>
      <c r="E72" s="77" t="n"/>
      <c r="F72" s="77" t="n"/>
      <c r="G72" s="77" t="n"/>
      <c r="H72" s="262" t="inlineStr">
        <is>
          <t>Retención de talento clave</t>
        </is>
      </c>
      <c r="I72" s="264" t="inlineStr">
        <is>
          <t>¿Site Manager y equipo core permanecieron? ¿Rotación controlada?</t>
        </is>
      </c>
      <c r="J72" s="378" t="n"/>
      <c r="K72" s="379" t="n"/>
      <c r="L72" s="264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</row>
    <row r="73" ht="23.25" customHeight="1" s="360">
      <c r="A73" s="191" t="n"/>
      <c r="B73" s="77" t="n"/>
      <c r="C73" s="77" t="n"/>
      <c r="D73" s="77" t="n"/>
      <c r="E73" s="77" t="n"/>
      <c r="F73" s="77" t="n"/>
      <c r="G73" s="77" t="n"/>
      <c r="H73" s="262" t="inlineStr">
        <is>
          <t>Capacidad de gestión de cambios</t>
        </is>
      </c>
      <c r="I73" s="264" t="inlineStr">
        <is>
          <t>¿Se adaptó operación a realidades locales? ¿Lecciones aprendidas documentadas?</t>
        </is>
      </c>
      <c r="J73" s="378" t="n"/>
      <c r="K73" s="379" t="n"/>
      <c r="L73" s="264" t="n"/>
      <c r="M73" s="77" t="n"/>
      <c r="N73" s="77" t="n"/>
      <c r="O73" s="77" t="n"/>
      <c r="P73" s="77" t="n"/>
      <c r="Q73" s="77" t="n"/>
      <c r="R73" s="77" t="n"/>
      <c r="S73" s="77" t="n"/>
      <c r="T73" s="77" t="n"/>
      <c r="U73" s="77" t="n"/>
    </row>
    <row r="74" ht="15" customHeight="1" s="360">
      <c r="A74" s="192" t="n"/>
      <c r="B74" s="77" t="n"/>
      <c r="C74" s="77" t="n"/>
      <c r="D74" s="77" t="n"/>
      <c r="E74" s="77" t="n"/>
      <c r="F74" s="77" t="n"/>
      <c r="G74" s="77" t="n"/>
      <c r="H74" s="397" t="inlineStr">
        <is>
          <t>Final project grade</t>
        </is>
      </c>
      <c r="I74" s="378" t="n"/>
      <c r="J74" s="378" t="n"/>
      <c r="K74" s="378" t="n"/>
      <c r="L74" s="379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</row>
    <row r="75" ht="19.5" customHeight="1" s="360">
      <c r="A75" s="192" t="n"/>
      <c r="B75" s="77" t="n"/>
      <c r="C75" s="77" t="n"/>
      <c r="D75" s="77" t="n"/>
      <c r="E75" s="77" t="n"/>
      <c r="F75" s="77" t="n"/>
      <c r="G75" s="77" t="n"/>
      <c r="H75" s="405">
        <f>IFERROR(AVERAGE(L44,L46,L48,L51,L53,L46,L55,L58,L60,L62),"-")</f>
        <v/>
      </c>
      <c r="I75" s="378" t="n"/>
      <c r="J75" s="378" t="n"/>
      <c r="K75" s="378" t="n"/>
      <c r="L75" s="379" t="n"/>
      <c r="M75" s="77" t="n"/>
      <c r="N75" s="77" t="n"/>
      <c r="O75" s="77" t="n"/>
      <c r="P75" s="77" t="n"/>
      <c r="Q75" s="77" t="n"/>
      <c r="R75" s="77" t="n"/>
      <c r="S75" s="77" t="n"/>
      <c r="T75" s="77" t="n"/>
      <c r="U75" s="77" t="n"/>
    </row>
    <row r="76" ht="64.5" customHeight="1" s="360">
      <c r="A76" s="192" t="n"/>
      <c r="B76" s="77" t="n"/>
      <c r="C76" s="77" t="n"/>
      <c r="D76" s="77" t="n"/>
      <c r="E76" s="77" t="n"/>
      <c r="F76" s="77" t="n"/>
      <c r="G76" s="77" t="n"/>
      <c r="H76" s="195" t="inlineStr">
        <is>
          <t>Obstacles - opportunities - risks</t>
        </is>
      </c>
      <c r="I76" s="197" t="inlineStr">
        <is>
          <t xml:space="preserve">Notas:
Gate 2 será decisión de lanzar Fase 2 (procesamiento, expansión a 6,000 m²) o estabilizar Fase 1.
Proyección: Si volumen Alex mantiene 500+ ton/mes y márgenes positivos, GO es altamente probable.
</t>
        </is>
      </c>
      <c r="J76" s="378" t="n"/>
      <c r="K76" s="378" t="n"/>
      <c r="L76" s="379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</row>
    <row r="77" ht="39" customHeight="1" s="360">
      <c r="A77" s="192" t="n"/>
      <c r="B77" s="77" t="n"/>
      <c r="C77" s="77" t="n"/>
      <c r="D77" s="77" t="n"/>
      <c r="E77" s="77" t="n"/>
      <c r="F77" s="77" t="n"/>
      <c r="G77" s="77" t="n"/>
      <c r="H77" s="195" t="inlineStr">
        <is>
          <t>Final Decision</t>
        </is>
      </c>
      <c r="I77" s="408" t="inlineStr">
        <is>
          <t>Go</t>
        </is>
      </c>
      <c r="J77" s="379" t="n"/>
      <c r="K77" s="195" t="inlineStr">
        <is>
          <t>Signature by
Business Team representative</t>
        </is>
      </c>
      <c r="L77" s="197" t="inlineStr">
        <is>
          <t>Raul</t>
        </is>
      </c>
      <c r="M77" s="77" t="n"/>
      <c r="N77" s="77" t="n"/>
      <c r="O77" s="77" t="n"/>
      <c r="P77" s="77" t="n"/>
      <c r="Q77" s="77" t="n"/>
      <c r="R77" s="77" t="n"/>
      <c r="S77" s="77" t="n"/>
      <c r="T77" s="77" t="n"/>
      <c r="U77" s="77" t="n"/>
    </row>
    <row r="78" ht="15" customHeight="1" s="360">
      <c r="A78" s="191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</row>
    <row r="79" ht="15" customHeight="1" s="360">
      <c r="A79" s="191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  <c r="S79" s="77" t="n"/>
      <c r="T79" s="77" t="n"/>
      <c r="U79" s="77" t="n"/>
    </row>
    <row r="80" ht="15" customHeight="1" s="360">
      <c r="A80" s="191" t="n"/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</row>
    <row r="81" ht="15.75" customHeight="1" s="360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  <c r="S81" s="77" t="n"/>
      <c r="T81" s="77" t="n"/>
      <c r="U81" s="77" t="n"/>
    </row>
    <row r="82" ht="15.75" customHeight="1" s="360">
      <c r="A82" s="77" t="n"/>
      <c r="B82" s="77" t="n"/>
      <c r="C82" s="77" t="n"/>
      <c r="D82" s="77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</row>
    <row r="83" ht="15.75" customHeight="1" s="360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  <c r="S83" s="77" t="n"/>
      <c r="T83" s="77" t="n"/>
      <c r="U83" s="77" t="n"/>
    </row>
    <row r="84" ht="15.75" customHeight="1" s="360">
      <c r="A84" s="77" t="n"/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</row>
    <row r="85" ht="15.75" customHeight="1" s="360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  <c r="S85" s="77" t="n"/>
      <c r="T85" s="77" t="n"/>
      <c r="U85" s="77" t="n"/>
    </row>
    <row r="86" ht="15.75" customHeight="1" s="360">
      <c r="A86" s="77" t="n"/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</row>
    <row r="87" ht="15.75" customHeight="1" s="360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</row>
    <row r="88" ht="15" customHeight="1" s="360">
      <c r="A88" s="242" t="n"/>
      <c r="B88" s="77" t="n"/>
      <c r="C88" s="77" t="n"/>
      <c r="D88" s="77" t="n"/>
      <c r="E88" s="77" t="n"/>
      <c r="F88" s="77" t="n"/>
      <c r="G88" s="33" t="n"/>
      <c r="H88" s="77" t="n"/>
      <c r="I88" s="77" t="n"/>
      <c r="J88" s="77" t="n"/>
      <c r="K88" s="77" t="n"/>
      <c r="L88" s="77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  <c r="AA88" s="33" t="n"/>
      <c r="AB88" s="33" t="n"/>
      <c r="AC88" s="33" t="n"/>
    </row>
    <row r="89" ht="15" customHeight="1" s="360">
      <c r="A89" s="242" t="n"/>
      <c r="B89" s="77" t="n"/>
      <c r="C89" s="77" t="n"/>
      <c r="D89" s="77" t="n"/>
      <c r="E89" s="77" t="n"/>
      <c r="F89" s="77" t="n"/>
      <c r="G89" s="33" t="n"/>
      <c r="H89" s="77" t="n"/>
      <c r="I89" s="77" t="n"/>
      <c r="J89" s="77" t="n"/>
      <c r="K89" s="77" t="n"/>
      <c r="L89" s="77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  <c r="AA89" s="33" t="n"/>
      <c r="AB89" s="33" t="n"/>
      <c r="AC89" s="33" t="n"/>
    </row>
    <row r="90" ht="15" customHeight="1" s="360">
      <c r="A90" s="242" t="n"/>
      <c r="B90" s="77" t="n"/>
      <c r="C90" s="77" t="n"/>
      <c r="D90" s="77" t="n"/>
      <c r="E90" s="77" t="n"/>
      <c r="F90" s="77" t="n"/>
      <c r="G90" s="33" t="n"/>
      <c r="H90" s="77" t="n"/>
      <c r="I90" s="77" t="n"/>
      <c r="J90" s="77" t="n"/>
      <c r="K90" s="77" t="n"/>
      <c r="L90" s="77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</row>
    <row r="91" ht="15" customHeight="1" s="360">
      <c r="A91" s="242" t="n"/>
      <c r="B91" s="77" t="n"/>
      <c r="C91" s="77" t="n"/>
      <c r="D91" s="77" t="n"/>
      <c r="E91" s="77" t="n"/>
      <c r="F91" s="77" t="n"/>
      <c r="G91" s="33" t="n"/>
      <c r="H91" s="77" t="n"/>
      <c r="I91" s="77" t="n"/>
      <c r="J91" s="77" t="n"/>
      <c r="K91" s="77" t="n"/>
      <c r="L91" s="77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</row>
    <row r="92" ht="15" customHeight="1" s="360">
      <c r="A92" s="242" t="n"/>
      <c r="B92" s="77" t="n"/>
      <c r="C92" s="77" t="n"/>
      <c r="D92" s="77" t="n"/>
      <c r="E92" s="77" t="n"/>
      <c r="F92" s="77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  <c r="AA92" s="33" t="n"/>
      <c r="AB92" s="33" t="n"/>
      <c r="AC92" s="33" t="n"/>
    </row>
    <row r="93" ht="15" customHeight="1" s="360">
      <c r="A93" s="242" t="n"/>
      <c r="B93" s="77" t="n"/>
      <c r="C93" s="77" t="n"/>
      <c r="D93" s="77" t="n"/>
      <c r="E93" s="77" t="n"/>
      <c r="F93" s="77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  <c r="AA93" s="33" t="n"/>
      <c r="AB93" s="33" t="n"/>
      <c r="AC93" s="33" t="n"/>
    </row>
    <row r="94" ht="15" customHeight="1" s="360">
      <c r="A94" s="242" t="n"/>
      <c r="B94" s="77" t="n"/>
      <c r="C94" s="77" t="n"/>
      <c r="D94" s="77" t="n"/>
      <c r="E94" s="77" t="n"/>
      <c r="F94" s="77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33" t="n"/>
      <c r="AC94" s="33" t="n"/>
    </row>
    <row r="95" ht="15" customHeight="1" s="360">
      <c r="A95" s="242" t="n"/>
      <c r="B95" s="77" t="n"/>
      <c r="C95" s="77" t="n"/>
      <c r="D95" s="77" t="n"/>
      <c r="E95" s="77" t="n"/>
      <c r="F95" s="77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</row>
    <row r="96" ht="15" customHeight="1" s="360">
      <c r="A96" s="242" t="n"/>
      <c r="B96" s="77" t="n"/>
      <c r="C96" s="77" t="n"/>
      <c r="D96" s="77" t="n"/>
      <c r="E96" s="77" t="n"/>
      <c r="F96" s="77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  <c r="AA96" s="33" t="n"/>
      <c r="AB96" s="33" t="n"/>
      <c r="AC96" s="33" t="n"/>
    </row>
    <row r="97" ht="15" customHeight="1" s="360">
      <c r="A97" s="242" t="n"/>
      <c r="B97" s="77" t="n"/>
      <c r="C97" s="77" t="n"/>
      <c r="D97" s="77" t="n"/>
      <c r="E97" s="77" t="n"/>
      <c r="F97" s="77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  <c r="AA97" s="33" t="n"/>
      <c r="AB97" s="33" t="n"/>
      <c r="AC97" s="33" t="n"/>
    </row>
    <row r="98" ht="15" customHeight="1" s="360">
      <c r="A98" s="242" t="n"/>
      <c r="B98" s="77" t="n"/>
      <c r="C98" s="77" t="n"/>
      <c r="D98" s="77" t="n"/>
      <c r="E98" s="77" t="n"/>
      <c r="F98" s="77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33" t="n"/>
      <c r="AC98" s="33" t="n"/>
    </row>
    <row r="99" ht="15" customHeight="1" s="360">
      <c r="A99" s="242" t="n"/>
      <c r="B99" s="77" t="n"/>
      <c r="C99" s="77" t="n"/>
      <c r="D99" s="77" t="n"/>
      <c r="E99" s="77" t="n"/>
      <c r="F99" s="77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</row>
    <row r="100" ht="15.75" customHeight="1" s="360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</row>
    <row r="101" ht="15.75" customHeight="1" s="360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  <c r="S101" s="77" t="n"/>
      <c r="T101" s="77" t="n"/>
      <c r="U101" s="77" t="n"/>
    </row>
    <row r="102" ht="15.75" customHeight="1" s="360">
      <c r="A102" s="77" t="n"/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</row>
    <row r="103" ht="15.75" customHeight="1" s="360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  <c r="S103" s="77" t="n"/>
      <c r="T103" s="77" t="n"/>
      <c r="U103" s="77" t="n"/>
    </row>
    <row r="104" ht="15.75" customHeight="1" s="360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</row>
    <row r="105" ht="15.75" customHeight="1" s="360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  <c r="S105" s="77" t="n"/>
      <c r="T105" s="77" t="n"/>
      <c r="U105" s="77" t="n"/>
    </row>
    <row r="106" ht="15.75" customHeight="1" s="360">
      <c r="A106" s="77" t="n"/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</row>
    <row r="107" ht="15.75" customHeight="1" s="360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  <c r="S107" s="77" t="n"/>
      <c r="T107" s="77" t="n"/>
      <c r="U107" s="77" t="n"/>
    </row>
    <row r="108" ht="15.75" customHeight="1" s="360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</row>
    <row r="109" ht="15.75" customHeight="1" s="360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</row>
    <row r="110" ht="15.75" customHeight="1" s="360">
      <c r="A110" s="77" t="n"/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</row>
    <row r="111" ht="15.75" customHeight="1" s="360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</row>
    <row r="112" ht="15.75" customHeight="1" s="360">
      <c r="A112" s="77" t="n"/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</row>
    <row r="113" ht="15.75" customHeight="1" s="360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  <c r="S113" s="77" t="n"/>
      <c r="T113" s="77" t="n"/>
      <c r="U113" s="77" t="n"/>
    </row>
    <row r="114" ht="15.75" customHeight="1" s="360">
      <c r="A114" s="77" t="n"/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</row>
    <row r="115" ht="15.75" customHeight="1" s="360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  <c r="S115" s="77" t="n"/>
      <c r="T115" s="77" t="n"/>
      <c r="U115" s="77" t="n"/>
    </row>
    <row r="116" ht="15.75" customHeight="1" s="360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</row>
    <row r="117" ht="15.75" customHeight="1" s="360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  <c r="S117" s="77" t="n"/>
      <c r="T117" s="77" t="n"/>
      <c r="U117" s="77" t="n"/>
    </row>
    <row r="118" ht="15.75" customHeight="1" s="360">
      <c r="A118" s="77" t="n"/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</row>
    <row r="119" ht="15.75" customHeight="1" s="360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  <c r="S119" s="77" t="n"/>
      <c r="T119" s="77" t="n"/>
      <c r="U119" s="77" t="n"/>
    </row>
    <row r="120" ht="15.75" customHeight="1" s="360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</row>
    <row r="121" ht="15.75" customHeight="1" s="360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  <c r="S121" s="77" t="n"/>
      <c r="T121" s="77" t="n"/>
      <c r="U121" s="77" t="n"/>
    </row>
    <row r="122" ht="15.75" customHeight="1" s="360">
      <c r="A122" s="77" t="n"/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</row>
    <row r="123" ht="15.75" customHeight="1" s="360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  <c r="S123" s="77" t="n"/>
      <c r="T123" s="77" t="n"/>
      <c r="U123" s="77" t="n"/>
    </row>
    <row r="124" ht="15.75" customHeight="1" s="360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</row>
    <row r="125" ht="15.75" customHeight="1" s="360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  <c r="S125" s="77" t="n"/>
      <c r="T125" s="77" t="n"/>
      <c r="U125" s="77" t="n"/>
    </row>
    <row r="126" ht="15" customHeight="1" s="360">
      <c r="A126" s="191" t="n"/>
      <c r="B126" s="77" t="n"/>
      <c r="C126" s="77" t="n"/>
      <c r="D126" s="77" t="n"/>
      <c r="E126" s="77" t="n"/>
      <c r="F126" s="77" t="n"/>
      <c r="G126" s="191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</row>
    <row r="127" ht="15" customHeight="1" s="360">
      <c r="A127" s="191" t="n"/>
      <c r="B127" s="77" t="n"/>
      <c r="C127" s="77" t="n"/>
      <c r="D127" s="77" t="n"/>
      <c r="E127" s="77" t="n"/>
      <c r="F127" s="77" t="n"/>
      <c r="G127" s="191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  <c r="S127" s="77" t="n"/>
      <c r="T127" s="77" t="n"/>
      <c r="U127" s="77" t="n"/>
    </row>
    <row r="128" ht="15" customHeight="1" s="360">
      <c r="A128" s="191" t="n"/>
      <c r="B128" s="77" t="n"/>
      <c r="C128" s="77" t="n"/>
      <c r="D128" s="77" t="n"/>
      <c r="E128" s="77" t="n"/>
      <c r="F128" s="77" t="n"/>
      <c r="G128" s="191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</row>
    <row r="129" ht="15" customHeight="1" s="360">
      <c r="A129" s="191" t="n"/>
      <c r="B129" s="77" t="n"/>
      <c r="C129" s="77" t="n"/>
      <c r="D129" s="77" t="n"/>
      <c r="E129" s="77" t="n"/>
      <c r="F129" s="77" t="n"/>
      <c r="G129" s="191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  <c r="S129" s="77" t="n"/>
      <c r="T129" s="77" t="n"/>
      <c r="U129" s="77" t="n"/>
    </row>
    <row r="130" ht="15" customHeight="1" s="360">
      <c r="A130" s="191" t="n"/>
      <c r="B130" s="77" t="n"/>
      <c r="C130" s="77" t="n"/>
      <c r="D130" s="77" t="n"/>
      <c r="E130" s="77" t="n"/>
      <c r="F130" s="77" t="n"/>
      <c r="G130" s="191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</row>
    <row r="131" ht="15" customHeight="1" s="360">
      <c r="A131" s="191" t="n"/>
      <c r="B131" s="77" t="n"/>
      <c r="C131" s="77" t="n"/>
      <c r="D131" s="77" t="n"/>
      <c r="E131" s="77" t="n"/>
      <c r="F131" s="77" t="n"/>
      <c r="G131" s="191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  <c r="S131" s="77" t="n"/>
      <c r="T131" s="77" t="n"/>
      <c r="U131" s="77" t="n"/>
    </row>
    <row r="132" ht="15.75" customHeight="1" s="360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 ht="15.75" customHeight="1" s="360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 ht="15.75" customHeight="1" s="360">
      <c r="A134" s="77" t="n"/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 ht="15.75" customHeight="1" s="360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 ht="15.75" customHeight="1" s="360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 ht="15.75" customHeight="1" s="360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  <c r="S137" s="77" t="n"/>
      <c r="T137" s="77" t="n"/>
      <c r="U137" s="77" t="n"/>
    </row>
    <row r="138" ht="15.75" customHeight="1" s="360">
      <c r="A138" s="77" t="n"/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</row>
    <row r="139" ht="15.75" customHeight="1" s="360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  <c r="S139" s="77" t="n"/>
      <c r="T139" s="77" t="n"/>
      <c r="U139" s="77" t="n"/>
    </row>
    <row r="140" ht="15.75" customHeight="1" s="360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</row>
    <row r="141" ht="15.75" customHeight="1" s="360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  <c r="S141" s="77" t="n"/>
      <c r="T141" s="77" t="n"/>
      <c r="U141" s="77" t="n"/>
    </row>
    <row r="142" ht="15.75" customHeight="1" s="360">
      <c r="A142" s="77" t="n"/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</row>
    <row r="143" ht="15.75" customHeight="1" s="360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77" t="n"/>
      <c r="Q143" s="77" t="n"/>
      <c r="R143" s="77" t="n"/>
      <c r="S143" s="77" t="n"/>
      <c r="T143" s="77" t="n"/>
      <c r="U143" s="77" t="n"/>
    </row>
    <row r="144" ht="15.75" customHeight="1" s="360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</row>
    <row r="145" ht="15.75" customHeight="1" s="360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77" t="n"/>
      <c r="Q145" s="77" t="n"/>
      <c r="R145" s="77" t="n"/>
      <c r="S145" s="77" t="n"/>
      <c r="T145" s="77" t="n"/>
      <c r="U145" s="77" t="n"/>
    </row>
    <row r="146" ht="15.75" customHeight="1" s="360">
      <c r="A146" s="77" t="n"/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</row>
    <row r="147" ht="15.75" customHeight="1" s="360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77" t="n"/>
      <c r="Q147" s="77" t="n"/>
      <c r="R147" s="77" t="n"/>
      <c r="S147" s="77" t="n"/>
      <c r="T147" s="77" t="n"/>
      <c r="U147" s="77" t="n"/>
    </row>
    <row r="148" ht="15.75" customHeight="1" s="360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</row>
    <row r="149" ht="15.75" customHeight="1" s="360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77" t="n"/>
      <c r="Q149" s="77" t="n"/>
      <c r="R149" s="77" t="n"/>
      <c r="S149" s="77" t="n"/>
      <c r="T149" s="77" t="n"/>
      <c r="U149" s="77" t="n"/>
    </row>
    <row r="150" ht="15.75" customHeight="1" s="360">
      <c r="A150" s="77" t="n"/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</row>
    <row r="151" ht="15" customHeight="1" s="360">
      <c r="A151" s="242" t="n"/>
      <c r="B151" s="77" t="n"/>
      <c r="C151" s="77" t="n"/>
      <c r="D151" s="77" t="n"/>
      <c r="E151" s="77" t="n"/>
      <c r="F151" s="77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  <c r="AA151" s="33" t="n"/>
      <c r="AB151" s="33" t="n"/>
      <c r="AC151" s="33" t="n"/>
    </row>
    <row r="152" ht="15" customHeight="1" s="360">
      <c r="A152" s="242" t="n"/>
      <c r="B152" s="77" t="n"/>
      <c r="C152" s="77" t="n"/>
      <c r="D152" s="77" t="n"/>
      <c r="E152" s="77" t="n"/>
      <c r="F152" s="77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</row>
    <row r="153" ht="15" customHeight="1" s="360">
      <c r="A153" s="242" t="n"/>
      <c r="B153" s="77" t="n"/>
      <c r="C153" s="77" t="n"/>
      <c r="D153" s="77" t="n"/>
      <c r="E153" s="77" t="n"/>
      <c r="F153" s="77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33" t="n"/>
      <c r="AB153" s="33" t="n"/>
      <c r="AC153" s="33" t="n"/>
    </row>
    <row r="154" ht="15" customHeight="1" s="360">
      <c r="A154" s="242" t="n"/>
      <c r="B154" s="77" t="n"/>
      <c r="C154" s="77" t="n"/>
      <c r="D154" s="77" t="n"/>
      <c r="E154" s="77" t="n"/>
      <c r="F154" s="77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33" t="n"/>
      <c r="AB154" s="33" t="n"/>
      <c r="AC154" s="33" t="n"/>
    </row>
    <row r="155" ht="15" customHeight="1" s="360">
      <c r="A155" s="242" t="n"/>
      <c r="B155" s="77" t="n"/>
      <c r="C155" s="77" t="n"/>
      <c r="D155" s="77" t="n"/>
      <c r="E155" s="77" t="n"/>
      <c r="F155" s="77" t="n"/>
      <c r="G155" s="33" t="n"/>
      <c r="H155" s="265" t="n"/>
      <c r="I155" s="265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33" t="n"/>
      <c r="AB155" s="33" t="n"/>
      <c r="AC155" s="33" t="n"/>
    </row>
    <row r="156" ht="15" customHeight="1" s="360">
      <c r="A156" s="242" t="n"/>
      <c r="B156" s="77" t="n"/>
      <c r="C156" s="77" t="n"/>
      <c r="D156" s="77" t="n"/>
      <c r="E156" s="77" t="n"/>
      <c r="F156" s="77" t="n"/>
      <c r="G156" s="33" t="n"/>
      <c r="H156" s="265" t="n"/>
      <c r="I156" s="265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</row>
    <row r="157" ht="15" customHeight="1" s="360">
      <c r="A157" s="242" t="n"/>
      <c r="B157" s="77" t="n"/>
      <c r="C157" s="77" t="n"/>
      <c r="D157" s="77" t="n"/>
      <c r="E157" s="77" t="n"/>
      <c r="F157" s="77" t="n"/>
      <c r="G157" s="33" t="n"/>
      <c r="H157" s="265" t="n"/>
      <c r="I157" s="265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33" t="n"/>
      <c r="AB157" s="33" t="n"/>
      <c r="AC157" s="33" t="n"/>
    </row>
    <row r="158" ht="15" customHeight="1" s="360">
      <c r="A158" s="77" t="n"/>
      <c r="B158" s="77" t="n"/>
      <c r="C158" s="77" t="n"/>
      <c r="D158" s="77" t="n"/>
      <c r="E158" s="77" t="n"/>
      <c r="F158" s="77" t="n"/>
      <c r="G158" s="77" t="n"/>
      <c r="H158" s="266" t="n"/>
      <c r="I158" s="266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</row>
    <row r="159" ht="15" customHeight="1" s="360">
      <c r="A159" s="77" t="n"/>
      <c r="B159" s="77" t="n"/>
      <c r="C159" s="77" t="n"/>
      <c r="D159" s="77" t="n"/>
      <c r="E159" s="77" t="n"/>
      <c r="F159" s="77" t="n"/>
      <c r="G159" s="77" t="n"/>
      <c r="H159" s="266" t="n"/>
      <c r="I159" s="266" t="n"/>
      <c r="J159" s="77" t="n"/>
      <c r="K159" s="77" t="n"/>
      <c r="L159" s="77" t="n"/>
      <c r="M159" s="77" t="n"/>
      <c r="N159" s="77" t="n"/>
      <c r="O159" s="77" t="n"/>
      <c r="P159" s="77" t="n"/>
      <c r="Q159" s="77" t="n"/>
      <c r="R159" s="77" t="n"/>
      <c r="S159" s="77" t="n"/>
      <c r="T159" s="77" t="n"/>
      <c r="U159" s="77" t="n"/>
    </row>
    <row r="160" ht="15" customHeight="1" s="360">
      <c r="A160" s="77" t="n"/>
      <c r="B160" s="77" t="n"/>
      <c r="C160" s="77" t="n"/>
      <c r="D160" s="77" t="n"/>
      <c r="E160" s="77" t="n"/>
      <c r="F160" s="77" t="n"/>
      <c r="G160" s="77" t="n"/>
      <c r="H160" s="266" t="n"/>
      <c r="I160" s="266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</row>
    <row r="161" ht="15" customHeight="1" s="360">
      <c r="A161" s="77" t="n"/>
      <c r="B161" s="77" t="n"/>
      <c r="C161" s="77" t="n"/>
      <c r="D161" s="77" t="n"/>
      <c r="E161" s="77" t="n"/>
      <c r="F161" s="77" t="n"/>
      <c r="G161" s="77" t="n"/>
      <c r="H161" s="266" t="n"/>
      <c r="I161" s="266" t="n"/>
      <c r="J161" s="77" t="n"/>
      <c r="K161" s="77" t="n"/>
      <c r="L161" s="77" t="n"/>
      <c r="M161" s="77" t="n"/>
      <c r="N161" s="77" t="n"/>
      <c r="O161" s="77" t="n"/>
      <c r="P161" s="77" t="n"/>
      <c r="Q161" s="77" t="n"/>
      <c r="R161" s="77" t="n"/>
      <c r="S161" s="77" t="n"/>
      <c r="T161" s="77" t="n"/>
      <c r="U161" s="77" t="n"/>
    </row>
    <row r="162" ht="15" customHeight="1" s="360">
      <c r="A162" s="77" t="n"/>
      <c r="B162" s="77" t="n"/>
      <c r="C162" s="77" t="n"/>
      <c r="D162" s="77" t="n"/>
      <c r="E162" s="77" t="n"/>
      <c r="F162" s="77" t="n"/>
      <c r="G162" s="77" t="n"/>
      <c r="H162" s="266" t="n"/>
      <c r="I162" s="266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</row>
    <row r="163" ht="15" customHeight="1" s="360">
      <c r="A163" s="77" t="n"/>
      <c r="B163" s="77" t="n"/>
      <c r="C163" s="77" t="n"/>
      <c r="D163" s="77" t="n"/>
      <c r="E163" s="77" t="n"/>
      <c r="F163" s="77" t="n"/>
      <c r="G163" s="77" t="n"/>
      <c r="H163" s="267" t="n"/>
      <c r="I163" s="267" t="n"/>
      <c r="J163" s="77" t="n"/>
      <c r="K163" s="77" t="n"/>
      <c r="L163" s="77" t="n"/>
      <c r="M163" s="77" t="n"/>
      <c r="N163" s="77" t="n"/>
      <c r="O163" s="77" t="n"/>
      <c r="P163" s="77" t="n"/>
      <c r="Q163" s="77" t="n"/>
      <c r="R163" s="77" t="n"/>
      <c r="S163" s="77" t="n"/>
      <c r="T163" s="77" t="n"/>
      <c r="U163" s="77" t="n"/>
    </row>
    <row r="164" ht="15" customHeight="1" s="360">
      <c r="A164" s="77" t="n"/>
      <c r="B164" s="77" t="n"/>
      <c r="C164" s="77" t="n"/>
      <c r="D164" s="77" t="n"/>
      <c r="E164" s="77" t="n"/>
      <c r="F164" s="77" t="n"/>
      <c r="G164" s="77" t="n"/>
      <c r="H164" s="268" t="n"/>
      <c r="I164" s="268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</row>
    <row r="165" ht="15" customHeight="1" s="360">
      <c r="A165" s="77" t="n"/>
      <c r="B165" s="77" t="n"/>
      <c r="C165" s="77" t="n"/>
      <c r="D165" s="77" t="n"/>
      <c r="E165" s="77" t="n"/>
      <c r="F165" s="77" t="n"/>
      <c r="G165" s="77" t="n"/>
      <c r="H165" s="269" t="n"/>
      <c r="I165" s="269" t="n"/>
      <c r="J165" s="77" t="n"/>
      <c r="K165" s="77" t="n"/>
      <c r="L165" s="77" t="n"/>
      <c r="M165" s="77" t="n"/>
      <c r="N165" s="77" t="n"/>
      <c r="O165" s="77" t="n"/>
      <c r="P165" s="77" t="n"/>
      <c r="Q165" s="77" t="n"/>
      <c r="R165" s="77" t="n"/>
      <c r="S165" s="77" t="n"/>
      <c r="T165" s="77" t="n"/>
      <c r="U165" s="77" t="n"/>
    </row>
    <row r="166" ht="15" customHeight="1" s="360">
      <c r="A166" s="77" t="n"/>
      <c r="B166" s="77" t="n"/>
      <c r="C166" s="77" t="n"/>
      <c r="D166" s="77" t="n"/>
      <c r="E166" s="77" t="n"/>
      <c r="F166" s="77" t="n"/>
      <c r="G166" s="77" t="n"/>
      <c r="H166" s="270" t="n"/>
      <c r="I166" s="270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</row>
    <row r="167" ht="15" customHeight="1" s="360">
      <c r="A167" s="77" t="n"/>
      <c r="B167" s="77" t="n"/>
      <c r="C167" s="77" t="n"/>
      <c r="D167" s="77" t="n"/>
      <c r="E167" s="77" t="n"/>
      <c r="F167" s="77" t="n"/>
      <c r="G167" s="77" t="n"/>
      <c r="H167" s="268" t="n"/>
      <c r="I167" s="268" t="n"/>
      <c r="J167" s="77" t="n"/>
      <c r="K167" s="77" t="n"/>
      <c r="L167" s="77" t="n"/>
      <c r="M167" s="77" t="n"/>
      <c r="N167" s="77" t="n"/>
      <c r="O167" s="77" t="n"/>
      <c r="P167" s="77" t="n"/>
      <c r="Q167" s="77" t="n"/>
      <c r="R167" s="77" t="n"/>
      <c r="S167" s="77" t="n"/>
      <c r="T167" s="77" t="n"/>
      <c r="U167" s="77" t="n"/>
    </row>
    <row r="168" ht="15" customHeight="1" s="360">
      <c r="A168" s="77" t="n"/>
      <c r="B168" s="77" t="n"/>
      <c r="C168" s="77" t="n"/>
      <c r="D168" s="77" t="n"/>
      <c r="E168" s="77" t="n"/>
      <c r="F168" s="77" t="n"/>
      <c r="G168" s="77" t="n"/>
      <c r="H168" s="269" t="n"/>
      <c r="I168" s="269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</row>
    <row r="169" ht="15" customHeight="1" s="360">
      <c r="A169" s="77" t="n"/>
      <c r="B169" s="77" t="n"/>
      <c r="C169" s="77" t="n"/>
      <c r="D169" s="77" t="n"/>
      <c r="E169" s="77" t="n"/>
      <c r="F169" s="77" t="n"/>
      <c r="G169" s="77" t="n"/>
      <c r="H169" s="270" t="n"/>
      <c r="I169" s="270" t="n"/>
      <c r="J169" s="77" t="n"/>
      <c r="K169" s="77" t="n"/>
      <c r="L169" s="77" t="n"/>
      <c r="M169" s="77" t="n"/>
      <c r="N169" s="77" t="n"/>
      <c r="O169" s="77" t="n"/>
      <c r="P169" s="77" t="n"/>
      <c r="Q169" s="77" t="n"/>
      <c r="R169" s="77" t="n"/>
      <c r="S169" s="77" t="n"/>
      <c r="T169" s="77" t="n"/>
      <c r="U169" s="77" t="n"/>
    </row>
    <row r="170" ht="15" customHeight="1" s="360">
      <c r="A170" s="77" t="n"/>
      <c r="B170" s="77" t="n"/>
      <c r="C170" s="77" t="n"/>
      <c r="D170" s="77" t="n"/>
      <c r="E170" s="77" t="n"/>
      <c r="F170" s="77" t="n"/>
      <c r="G170" s="77" t="n"/>
      <c r="H170" s="268" t="n"/>
      <c r="I170" s="268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</row>
    <row r="171" ht="15" customHeight="1" s="360">
      <c r="A171" s="77" t="n"/>
      <c r="B171" s="77" t="n"/>
      <c r="C171" s="77" t="n"/>
      <c r="D171" s="77" t="n"/>
      <c r="E171" s="77" t="n"/>
      <c r="F171" s="77" t="n"/>
      <c r="G171" s="77" t="n"/>
      <c r="H171" s="271" t="n"/>
      <c r="I171" s="271" t="n"/>
      <c r="J171" s="77" t="n"/>
      <c r="K171" s="77" t="n"/>
      <c r="L171" s="77" t="n"/>
      <c r="M171" s="77" t="n"/>
      <c r="N171" s="77" t="n"/>
      <c r="O171" s="77" t="n"/>
      <c r="P171" s="77" t="n"/>
      <c r="Q171" s="77" t="n"/>
      <c r="R171" s="77" t="n"/>
      <c r="S171" s="77" t="n"/>
      <c r="T171" s="77" t="n"/>
      <c r="U171" s="77" t="n"/>
    </row>
    <row r="172" ht="15" customHeight="1" s="360">
      <c r="A172" s="77" t="n"/>
      <c r="B172" s="77" t="n"/>
      <c r="C172" s="77" t="n"/>
      <c r="D172" s="77" t="n"/>
      <c r="E172" s="77" t="n"/>
      <c r="F172" s="77" t="n"/>
      <c r="G172" s="77" t="n"/>
      <c r="H172" s="192" t="n"/>
      <c r="I172" s="192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</row>
    <row r="173" ht="15" customHeight="1" s="360">
      <c r="A173" s="77" t="n"/>
      <c r="B173" s="77" t="n"/>
      <c r="C173" s="77" t="n"/>
      <c r="D173" s="77" t="n"/>
      <c r="E173" s="77" t="n"/>
      <c r="F173" s="77" t="n"/>
      <c r="G173" s="77" t="n"/>
      <c r="H173" s="192" t="n"/>
      <c r="I173" s="192" t="n"/>
      <c r="J173" s="77" t="n"/>
      <c r="K173" s="77" t="n"/>
      <c r="L173" s="77" t="n"/>
      <c r="M173" s="77" t="n"/>
      <c r="N173" s="77" t="n"/>
      <c r="O173" s="77" t="n"/>
      <c r="P173" s="77" t="n"/>
      <c r="Q173" s="77" t="n"/>
      <c r="R173" s="77" t="n"/>
      <c r="S173" s="77" t="n"/>
      <c r="T173" s="77" t="n"/>
      <c r="U173" s="77" t="n"/>
    </row>
    <row r="174" ht="15.75" customHeight="1" s="360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</row>
    <row r="175" ht="15.75" customHeight="1" s="360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77" t="n"/>
      <c r="Q175" s="77" t="n"/>
      <c r="R175" s="77" t="n"/>
      <c r="S175" s="77" t="n"/>
      <c r="T175" s="77" t="n"/>
      <c r="U175" s="77" t="n"/>
    </row>
    <row r="176" ht="15.75" customHeight="1" s="360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</row>
    <row r="177" ht="15.75" customHeight="1" s="360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77" t="n"/>
      <c r="Q177" s="77" t="n"/>
      <c r="R177" s="77" t="n"/>
      <c r="S177" s="77" t="n"/>
      <c r="T177" s="77" t="n"/>
      <c r="U177" s="77" t="n"/>
    </row>
    <row r="178" ht="15.75" customHeight="1" s="360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</row>
    <row r="179" ht="15.75" customHeight="1" s="360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77" t="n"/>
      <c r="Q179" s="77" t="n"/>
      <c r="R179" s="77" t="n"/>
      <c r="S179" s="77" t="n"/>
      <c r="T179" s="77" t="n"/>
      <c r="U179" s="77" t="n"/>
    </row>
    <row r="180" ht="15.75" customHeight="1" s="360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</row>
    <row r="181" ht="15.75" customHeight="1" s="360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77" t="n"/>
      <c r="Q181" s="77" t="n"/>
      <c r="R181" s="77" t="n"/>
      <c r="S181" s="77" t="n"/>
      <c r="T181" s="77" t="n"/>
      <c r="U181" s="77" t="n"/>
    </row>
    <row r="182" ht="15.75" customHeight="1" s="360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</row>
    <row r="183" ht="15.75" customHeight="1" s="360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77" t="n"/>
      <c r="Q183" s="77" t="n"/>
      <c r="R183" s="77" t="n"/>
      <c r="S183" s="77" t="n"/>
      <c r="T183" s="77" t="n"/>
      <c r="U183" s="77" t="n"/>
    </row>
    <row r="184" ht="15.75" customHeight="1" s="360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</row>
    <row r="185" ht="15.75" customHeight="1" s="360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77" t="n"/>
      <c r="Q185" s="77" t="n"/>
      <c r="R185" s="77" t="n"/>
      <c r="S185" s="77" t="n"/>
      <c r="T185" s="77" t="n"/>
      <c r="U185" s="77" t="n"/>
    </row>
    <row r="186" ht="15.75" customHeight="1" s="360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</row>
    <row r="187" ht="15.75" customHeight="1" s="360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77" t="n"/>
      <c r="Q187" s="77" t="n"/>
      <c r="R187" s="77" t="n"/>
      <c r="S187" s="77" t="n"/>
      <c r="T187" s="77" t="n"/>
      <c r="U187" s="77" t="n"/>
    </row>
    <row r="188" ht="15.75" customHeight="1" s="360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</row>
    <row r="189" ht="15.75" customHeight="1" s="360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77" t="n"/>
      <c r="Q189" s="77" t="n"/>
      <c r="R189" s="77" t="n"/>
      <c r="S189" s="77" t="n"/>
      <c r="T189" s="77" t="n"/>
      <c r="U189" s="77" t="n"/>
    </row>
    <row r="190" ht="15.75" customHeight="1" s="360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</row>
    <row r="191" ht="15.75" customHeight="1" s="360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77" t="n"/>
      <c r="Q191" s="77" t="n"/>
      <c r="R191" s="77" t="n"/>
      <c r="S191" s="77" t="n"/>
      <c r="T191" s="77" t="n"/>
      <c r="U191" s="77" t="n"/>
    </row>
    <row r="192" ht="15.75" customHeight="1" s="360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</row>
    <row r="193" ht="15.75" customHeight="1" s="360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77" t="n"/>
      <c r="Q193" s="77" t="n"/>
      <c r="R193" s="77" t="n"/>
      <c r="S193" s="77" t="n"/>
      <c r="T193" s="77" t="n"/>
      <c r="U193" s="77" t="n"/>
    </row>
    <row r="194" ht="15.75" customHeight="1" s="360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</row>
    <row r="195" ht="15.75" customHeight="1" s="360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77" t="n"/>
      <c r="Q195" s="77" t="n"/>
      <c r="R195" s="77" t="n"/>
      <c r="S195" s="77" t="n"/>
      <c r="T195" s="77" t="n"/>
      <c r="U195" s="77" t="n"/>
    </row>
    <row r="196" ht="15.75" customHeight="1" s="360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</row>
    <row r="197" ht="15.75" customHeight="1" s="360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77" t="n"/>
      <c r="Q197" s="77" t="n"/>
      <c r="R197" s="77" t="n"/>
      <c r="S197" s="77" t="n"/>
      <c r="T197" s="77" t="n"/>
      <c r="U197" s="77" t="n"/>
    </row>
    <row r="198" ht="15.75" customHeight="1" s="360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</row>
    <row r="199" ht="15.75" customHeight="1" s="360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77" t="n"/>
      <c r="Q199" s="77" t="n"/>
      <c r="R199" s="77" t="n"/>
      <c r="S199" s="77" t="n"/>
      <c r="T199" s="77" t="n"/>
      <c r="U199" s="77" t="n"/>
    </row>
    <row r="200" ht="15.75" customHeight="1" s="360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</row>
    <row r="201" ht="15.75" customHeight="1" s="360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77" t="n"/>
      <c r="Q201" s="77" t="n"/>
      <c r="R201" s="77" t="n"/>
      <c r="S201" s="77" t="n"/>
      <c r="T201" s="77" t="n"/>
      <c r="U201" s="77" t="n"/>
    </row>
    <row r="202" ht="15.75" customHeight="1" s="360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</row>
    <row r="203" ht="15.75" customHeight="1" s="360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77" t="n"/>
      <c r="Q203" s="77" t="n"/>
      <c r="R203" s="77" t="n"/>
      <c r="S203" s="77" t="n"/>
      <c r="T203" s="77" t="n"/>
      <c r="U203" s="77" t="n"/>
    </row>
    <row r="204" ht="15.75" customHeight="1" s="360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</row>
    <row r="205" ht="15.75" customHeight="1" s="360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77" t="n"/>
      <c r="Q205" s="77" t="n"/>
      <c r="R205" s="77" t="n"/>
      <c r="S205" s="77" t="n"/>
      <c r="T205" s="77" t="n"/>
      <c r="U205" s="77" t="n"/>
    </row>
    <row r="206" ht="15.75" customHeight="1" s="360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</row>
    <row r="207" ht="15.75" customHeight="1" s="360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77" t="n"/>
      <c r="Q207" s="77" t="n"/>
      <c r="R207" s="77" t="n"/>
      <c r="S207" s="77" t="n"/>
      <c r="T207" s="77" t="n"/>
      <c r="U207" s="77" t="n"/>
    </row>
    <row r="208" ht="15.75" customHeight="1" s="360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77" t="n"/>
      <c r="Q208" s="77" t="n"/>
      <c r="R208" s="77" t="n"/>
      <c r="S208" s="77" t="n"/>
      <c r="T208" s="77" t="n"/>
      <c r="U208" s="77" t="n"/>
    </row>
    <row r="209" ht="15.75" customHeight="1" s="360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77" t="n"/>
      <c r="Q209" s="77" t="n"/>
      <c r="R209" s="77" t="n"/>
      <c r="S209" s="77" t="n"/>
      <c r="T209" s="77" t="n"/>
      <c r="U209" s="77" t="n"/>
    </row>
    <row r="210" ht="15.75" customHeight="1" s="360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77" t="n"/>
      <c r="Q210" s="77" t="n"/>
      <c r="R210" s="77" t="n"/>
      <c r="S210" s="77" t="n"/>
      <c r="T210" s="77" t="n"/>
      <c r="U210" s="77" t="n"/>
    </row>
    <row r="211" ht="15.75" customHeight="1" s="360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77" t="n"/>
      <c r="Q211" s="77" t="n"/>
      <c r="R211" s="77" t="n"/>
      <c r="S211" s="77" t="n"/>
      <c r="T211" s="77" t="n"/>
      <c r="U211" s="77" t="n"/>
    </row>
    <row r="212" ht="15.75" customHeight="1" s="360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77" t="n"/>
      <c r="Q212" s="77" t="n"/>
      <c r="R212" s="77" t="n"/>
      <c r="S212" s="77" t="n"/>
      <c r="T212" s="77" t="n"/>
      <c r="U212" s="77" t="n"/>
    </row>
    <row r="213" ht="15.75" customHeight="1" s="360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  <c r="P213" s="77" t="n"/>
      <c r="Q213" s="77" t="n"/>
      <c r="R213" s="77" t="n"/>
      <c r="S213" s="77" t="n"/>
      <c r="T213" s="77" t="n"/>
      <c r="U213" s="77" t="n"/>
    </row>
    <row r="214" ht="15.75" customHeight="1" s="360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77" t="n"/>
      <c r="Q214" s="77" t="n"/>
      <c r="R214" s="77" t="n"/>
      <c r="S214" s="77" t="n"/>
      <c r="T214" s="77" t="n"/>
      <c r="U214" s="77" t="n"/>
    </row>
    <row r="215" ht="15.75" customHeight="1" s="360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77" t="n"/>
      <c r="Q215" s="77" t="n"/>
      <c r="R215" s="77" t="n"/>
      <c r="S215" s="77" t="n"/>
      <c r="T215" s="77" t="n"/>
      <c r="U215" s="77" t="n"/>
    </row>
    <row r="216" ht="15.75" customHeight="1" s="360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77" t="n"/>
      <c r="Q216" s="77" t="n"/>
      <c r="R216" s="77" t="n"/>
      <c r="S216" s="77" t="n"/>
      <c r="T216" s="77" t="n"/>
      <c r="U216" s="77" t="n"/>
    </row>
    <row r="217" ht="15.75" customHeight="1" s="360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77" t="n"/>
      <c r="Q217" s="77" t="n"/>
      <c r="R217" s="77" t="n"/>
      <c r="S217" s="77" t="n"/>
      <c r="T217" s="77" t="n"/>
      <c r="U217" s="77" t="n"/>
    </row>
    <row r="218" ht="15.75" customHeight="1" s="360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77" t="n"/>
      <c r="Q218" s="77" t="n"/>
      <c r="R218" s="77" t="n"/>
      <c r="S218" s="77" t="n"/>
      <c r="T218" s="77" t="n"/>
      <c r="U218" s="77" t="n"/>
    </row>
    <row r="219" ht="15.75" customHeight="1" s="360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77" t="n"/>
      <c r="Q219" s="77" t="n"/>
      <c r="R219" s="77" t="n"/>
      <c r="S219" s="77" t="n"/>
      <c r="T219" s="77" t="n"/>
      <c r="U219" s="77" t="n"/>
    </row>
    <row r="220" ht="15.75" customHeight="1" s="360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77" t="n"/>
      <c r="Q220" s="77" t="n"/>
      <c r="R220" s="77" t="n"/>
      <c r="S220" s="77" t="n"/>
      <c r="T220" s="77" t="n"/>
      <c r="U220" s="77" t="n"/>
    </row>
    <row r="221" ht="15.75" customHeight="1" s="360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77" t="n"/>
      <c r="Q221" s="77" t="n"/>
      <c r="R221" s="77" t="n"/>
      <c r="S221" s="77" t="n"/>
      <c r="T221" s="77" t="n"/>
      <c r="U221" s="77" t="n"/>
    </row>
    <row r="222" ht="15.75" customHeight="1" s="360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77" t="n"/>
      <c r="Q222" s="77" t="n"/>
      <c r="R222" s="77" t="n"/>
      <c r="S222" s="77" t="n"/>
      <c r="T222" s="77" t="n"/>
      <c r="U222" s="77" t="n"/>
    </row>
    <row r="223" ht="15.75" customHeight="1" s="360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77" t="n"/>
      <c r="Q223" s="77" t="n"/>
      <c r="R223" s="77" t="n"/>
      <c r="S223" s="77" t="n"/>
      <c r="T223" s="77" t="n"/>
      <c r="U223" s="77" t="n"/>
    </row>
    <row r="224" ht="15.75" customHeight="1" s="360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77" t="n"/>
      <c r="Q224" s="77" t="n"/>
      <c r="R224" s="77" t="n"/>
      <c r="S224" s="77" t="n"/>
      <c r="T224" s="77" t="n"/>
      <c r="U224" s="77" t="n"/>
    </row>
    <row r="225" ht="15.75" customHeight="1" s="360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77" t="n"/>
      <c r="Q225" s="77" t="n"/>
      <c r="R225" s="77" t="n"/>
      <c r="S225" s="77" t="n"/>
      <c r="T225" s="77" t="n"/>
      <c r="U225" s="77" t="n"/>
    </row>
    <row r="226" ht="15.75" customHeight="1" s="360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77" t="n"/>
      <c r="Q226" s="77" t="n"/>
      <c r="R226" s="77" t="n"/>
      <c r="S226" s="77" t="n"/>
      <c r="T226" s="77" t="n"/>
      <c r="U226" s="77" t="n"/>
    </row>
    <row r="227" ht="15.75" customHeight="1" s="360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77" t="n"/>
      <c r="Q227" s="77" t="n"/>
      <c r="R227" s="77" t="n"/>
      <c r="S227" s="77" t="n"/>
      <c r="T227" s="77" t="n"/>
      <c r="U227" s="77" t="n"/>
    </row>
    <row r="228" ht="15.75" customHeight="1" s="360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77" t="n"/>
      <c r="Q228" s="77" t="n"/>
      <c r="R228" s="77" t="n"/>
      <c r="S228" s="77" t="n"/>
      <c r="T228" s="77" t="n"/>
      <c r="U228" s="77" t="n"/>
    </row>
    <row r="229" ht="15.75" customHeight="1" s="360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77" t="n"/>
      <c r="Q229" s="77" t="n"/>
      <c r="R229" s="77" t="n"/>
      <c r="S229" s="77" t="n"/>
      <c r="T229" s="77" t="n"/>
      <c r="U229" s="77" t="n"/>
    </row>
    <row r="230" ht="15.75" customHeight="1" s="360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  <c r="O230" s="77" t="n"/>
      <c r="P230" s="77" t="n"/>
      <c r="Q230" s="77" t="n"/>
      <c r="R230" s="77" t="n"/>
      <c r="S230" s="77" t="n"/>
      <c r="T230" s="77" t="n"/>
      <c r="U230" s="77" t="n"/>
    </row>
    <row r="231" ht="15.75" customHeight="1" s="360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77" t="n"/>
      <c r="Q231" s="77" t="n"/>
      <c r="R231" s="77" t="n"/>
      <c r="S231" s="77" t="n"/>
      <c r="T231" s="77" t="n"/>
      <c r="U231" s="77" t="n"/>
    </row>
    <row r="232" ht="15.75" customHeight="1" s="360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77" t="n"/>
      <c r="Q232" s="77" t="n"/>
      <c r="R232" s="77" t="n"/>
      <c r="S232" s="77" t="n"/>
      <c r="T232" s="77" t="n"/>
      <c r="U232" s="77" t="n"/>
    </row>
    <row r="233" ht="15.75" customHeight="1" s="360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77" t="n"/>
      <c r="Q233" s="77" t="n"/>
      <c r="R233" s="77" t="n"/>
      <c r="S233" s="77" t="n"/>
      <c r="T233" s="77" t="n"/>
      <c r="U233" s="77" t="n"/>
    </row>
    <row r="234" ht="15.75" customHeight="1" s="360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77" t="n"/>
      <c r="Q234" s="77" t="n"/>
      <c r="R234" s="77" t="n"/>
      <c r="S234" s="77" t="n"/>
      <c r="T234" s="77" t="n"/>
      <c r="U234" s="77" t="n"/>
    </row>
    <row r="235" ht="15.75" customHeight="1" s="360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77" t="n"/>
      <c r="Q235" s="77" t="n"/>
      <c r="R235" s="77" t="n"/>
      <c r="S235" s="77" t="n"/>
      <c r="T235" s="77" t="n"/>
      <c r="U235" s="77" t="n"/>
    </row>
    <row r="236" ht="15.75" customHeight="1" s="360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77" t="n"/>
      <c r="Q236" s="77" t="n"/>
      <c r="R236" s="77" t="n"/>
      <c r="S236" s="77" t="n"/>
      <c r="T236" s="77" t="n"/>
      <c r="U236" s="77" t="n"/>
    </row>
    <row r="237" ht="15.75" customHeight="1" s="360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77" t="n"/>
      <c r="Q237" s="77" t="n"/>
      <c r="R237" s="77" t="n"/>
      <c r="S237" s="77" t="n"/>
      <c r="T237" s="77" t="n"/>
      <c r="U237" s="77" t="n"/>
    </row>
    <row r="238" ht="15.75" customHeight="1" s="360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77" t="n"/>
      <c r="Q238" s="77" t="n"/>
      <c r="R238" s="77" t="n"/>
      <c r="S238" s="77" t="n"/>
      <c r="T238" s="77" t="n"/>
      <c r="U238" s="77" t="n"/>
    </row>
    <row r="239" ht="15.75" customHeight="1" s="360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77" t="n"/>
      <c r="Q239" s="77" t="n"/>
      <c r="R239" s="77" t="n"/>
      <c r="S239" s="77" t="n"/>
      <c r="T239" s="77" t="n"/>
      <c r="U239" s="77" t="n"/>
    </row>
    <row r="240" ht="15.75" customHeight="1" s="360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77" t="n"/>
      <c r="Q240" s="77" t="n"/>
      <c r="R240" s="77" t="n"/>
      <c r="S240" s="77" t="n"/>
      <c r="T240" s="77" t="n"/>
      <c r="U240" s="77" t="n"/>
    </row>
    <row r="241" ht="15.75" customHeight="1" s="360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77" t="n"/>
      <c r="Q241" s="77" t="n"/>
      <c r="R241" s="77" t="n"/>
      <c r="S241" s="77" t="n"/>
      <c r="T241" s="77" t="n"/>
      <c r="U241" s="77" t="n"/>
    </row>
    <row r="242" ht="15.75" customHeight="1" s="360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77" t="n"/>
      <c r="Q242" s="77" t="n"/>
      <c r="R242" s="77" t="n"/>
      <c r="S242" s="77" t="n"/>
      <c r="T242" s="77" t="n"/>
      <c r="U242" s="77" t="n"/>
    </row>
    <row r="243" ht="15.75" customHeight="1" s="360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77" t="n"/>
      <c r="Q243" s="77" t="n"/>
      <c r="R243" s="77" t="n"/>
      <c r="S243" s="77" t="n"/>
      <c r="T243" s="77" t="n"/>
      <c r="U243" s="77" t="n"/>
    </row>
    <row r="244" ht="15.75" customHeight="1" s="360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77" t="n"/>
      <c r="Q244" s="77" t="n"/>
      <c r="R244" s="77" t="n"/>
      <c r="S244" s="77" t="n"/>
      <c r="T244" s="77" t="n"/>
      <c r="U244" s="77" t="n"/>
    </row>
    <row r="245" ht="15.75" customHeight="1" s="360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77" t="n"/>
      <c r="Q245" s="77" t="n"/>
      <c r="R245" s="77" t="n"/>
      <c r="S245" s="77" t="n"/>
      <c r="T245" s="77" t="n"/>
      <c r="U245" s="77" t="n"/>
    </row>
    <row r="246" ht="15.75" customHeight="1" s="360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77" t="n"/>
      <c r="Q246" s="77" t="n"/>
      <c r="R246" s="77" t="n"/>
      <c r="S246" s="77" t="n"/>
      <c r="T246" s="77" t="n"/>
      <c r="U246" s="77" t="n"/>
    </row>
    <row r="247" ht="15.75" customHeight="1" s="360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</row>
    <row r="248" ht="15.75" customHeight="1" s="360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77" t="n"/>
      <c r="Q248" s="77" t="n"/>
      <c r="R248" s="77" t="n"/>
      <c r="S248" s="77" t="n"/>
      <c r="T248" s="77" t="n"/>
      <c r="U248" s="77" t="n"/>
    </row>
    <row r="249" ht="15.75" customHeight="1" s="360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</row>
    <row r="250" ht="15.75" customHeight="1" s="360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</row>
    <row r="251" ht="15.75" customHeight="1" s="360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</row>
    <row r="252" ht="15.75" customHeight="1" s="360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</row>
    <row r="253" ht="15.75" customHeight="1" s="360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</row>
    <row r="254" ht="15.75" customHeight="1" s="360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</row>
    <row r="255" ht="15.75" customHeight="1" s="360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</row>
    <row r="256" ht="15.75" customHeight="1" s="360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77" t="n"/>
      <c r="Q256" s="77" t="n"/>
      <c r="R256" s="77" t="n"/>
      <c r="S256" s="77" t="n"/>
      <c r="T256" s="77" t="n"/>
      <c r="U256" s="77" t="n"/>
    </row>
    <row r="257" ht="15.75" customHeight="1" s="360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77" t="n"/>
      <c r="Q257" s="77" t="n"/>
      <c r="R257" s="77" t="n"/>
      <c r="S257" s="77" t="n"/>
      <c r="T257" s="77" t="n"/>
      <c r="U257" s="77" t="n"/>
    </row>
    <row r="258" ht="15.75" customHeight="1" s="360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77" t="n"/>
      <c r="Q258" s="77" t="n"/>
      <c r="R258" s="77" t="n"/>
      <c r="S258" s="77" t="n"/>
      <c r="T258" s="77" t="n"/>
      <c r="U258" s="77" t="n"/>
    </row>
    <row r="259" ht="15.75" customHeight="1" s="360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77" t="n"/>
      <c r="Q259" s="77" t="n"/>
      <c r="R259" s="77" t="n"/>
      <c r="S259" s="77" t="n"/>
      <c r="T259" s="77" t="n"/>
      <c r="U259" s="77" t="n"/>
    </row>
    <row r="260" ht="15.75" customHeight="1" s="360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77" t="n"/>
      <c r="Q260" s="77" t="n"/>
      <c r="R260" s="77" t="n"/>
      <c r="S260" s="77" t="n"/>
      <c r="T260" s="77" t="n"/>
      <c r="U260" s="77" t="n"/>
    </row>
    <row r="261" ht="15.75" customHeight="1" s="360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77" t="n"/>
      <c r="Q261" s="77" t="n"/>
      <c r="R261" s="77" t="n"/>
      <c r="S261" s="77" t="n"/>
      <c r="T261" s="77" t="n"/>
      <c r="U261" s="77" t="n"/>
    </row>
    <row r="262" ht="15.75" customHeight="1" s="360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77" t="n"/>
      <c r="Q262" s="77" t="n"/>
      <c r="R262" s="77" t="n"/>
      <c r="S262" s="77" t="n"/>
      <c r="T262" s="77" t="n"/>
      <c r="U262" s="77" t="n"/>
    </row>
    <row r="263" ht="15.75" customHeight="1" s="360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77" t="n"/>
      <c r="Q263" s="77" t="n"/>
      <c r="R263" s="77" t="n"/>
      <c r="S263" s="77" t="n"/>
      <c r="T263" s="77" t="n"/>
      <c r="U263" s="77" t="n"/>
    </row>
    <row r="264" ht="15.75" customHeight="1" s="360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77" t="n"/>
      <c r="Q264" s="77" t="n"/>
      <c r="R264" s="77" t="n"/>
      <c r="S264" s="77" t="n"/>
      <c r="T264" s="77" t="n"/>
      <c r="U264" s="77" t="n"/>
    </row>
    <row r="265" ht="15.75" customHeight="1" s="360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77" t="n"/>
      <c r="Q265" s="77" t="n"/>
      <c r="R265" s="77" t="n"/>
      <c r="S265" s="77" t="n"/>
      <c r="T265" s="77" t="n"/>
      <c r="U265" s="77" t="n"/>
    </row>
    <row r="266" ht="15.75" customHeight="1" s="360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77" t="n"/>
      <c r="Q266" s="77" t="n"/>
      <c r="R266" s="77" t="n"/>
      <c r="S266" s="77" t="n"/>
      <c r="T266" s="77" t="n"/>
      <c r="U266" s="77" t="n"/>
    </row>
    <row r="267" ht="15.75" customHeight="1" s="360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77" t="n"/>
      <c r="Q267" s="77" t="n"/>
      <c r="R267" s="77" t="n"/>
      <c r="S267" s="77" t="n"/>
      <c r="T267" s="77" t="n"/>
      <c r="U267" s="77" t="n"/>
    </row>
    <row r="268" ht="15.75" customHeight="1" s="360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77" t="n"/>
      <c r="Q268" s="77" t="n"/>
      <c r="R268" s="77" t="n"/>
      <c r="S268" s="77" t="n"/>
      <c r="T268" s="77" t="n"/>
      <c r="U268" s="77" t="n"/>
    </row>
    <row r="269" ht="15.75" customHeight="1" s="360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77" t="n"/>
      <c r="Q269" s="77" t="n"/>
      <c r="R269" s="77" t="n"/>
      <c r="S269" s="77" t="n"/>
      <c r="T269" s="77" t="n"/>
      <c r="U269" s="77" t="n"/>
    </row>
    <row r="270" ht="15.75" customHeight="1" s="360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77" t="n"/>
      <c r="Q270" s="77" t="n"/>
      <c r="R270" s="77" t="n"/>
      <c r="S270" s="77" t="n"/>
      <c r="T270" s="77" t="n"/>
      <c r="U270" s="77" t="n"/>
    </row>
    <row r="271" ht="15.75" customHeight="1" s="360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77" t="n"/>
      <c r="Q271" s="77" t="n"/>
      <c r="R271" s="77" t="n"/>
      <c r="S271" s="77" t="n"/>
      <c r="T271" s="77" t="n"/>
      <c r="U271" s="77" t="n"/>
    </row>
    <row r="272" ht="15.75" customHeight="1" s="360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77" t="n"/>
      <c r="Q272" s="77" t="n"/>
      <c r="R272" s="77" t="n"/>
      <c r="S272" s="77" t="n"/>
      <c r="T272" s="77" t="n"/>
      <c r="U272" s="77" t="n"/>
    </row>
    <row r="273" ht="15.75" customHeight="1" s="360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77" t="n"/>
      <c r="Q273" s="77" t="n"/>
      <c r="R273" s="77" t="n"/>
      <c r="S273" s="77" t="n"/>
      <c r="T273" s="77" t="n"/>
      <c r="U273" s="77" t="n"/>
    </row>
    <row r="274" ht="15.75" customHeight="1" s="360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77" t="n"/>
      <c r="Q274" s="77" t="n"/>
      <c r="R274" s="77" t="n"/>
      <c r="S274" s="77" t="n"/>
      <c r="T274" s="77" t="n"/>
      <c r="U274" s="77" t="n"/>
    </row>
    <row r="275" ht="15.75" customHeight="1" s="360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77" t="n"/>
      <c r="Q275" s="77" t="n"/>
      <c r="R275" s="77" t="n"/>
      <c r="S275" s="77" t="n"/>
      <c r="T275" s="77" t="n"/>
      <c r="U275" s="77" t="n"/>
    </row>
    <row r="276" ht="15.75" customHeight="1" s="360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77" t="n"/>
      <c r="Q276" s="77" t="n"/>
      <c r="R276" s="77" t="n"/>
      <c r="S276" s="77" t="n"/>
      <c r="T276" s="77" t="n"/>
      <c r="U276" s="77" t="n"/>
    </row>
    <row r="277" ht="15.75" customHeight="1" s="360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77" t="n"/>
      <c r="Q277" s="77" t="n"/>
      <c r="R277" s="77" t="n"/>
      <c r="S277" s="77" t="n"/>
      <c r="T277" s="77" t="n"/>
      <c r="U277" s="77" t="n"/>
    </row>
    <row r="278" ht="15.75" customHeight="1" s="360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77" t="n"/>
      <c r="Q278" s="77" t="n"/>
      <c r="R278" s="77" t="n"/>
      <c r="S278" s="77" t="n"/>
      <c r="T278" s="77" t="n"/>
      <c r="U278" s="77" t="n"/>
    </row>
    <row r="279" ht="15.75" customHeight="1" s="360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77" t="n"/>
      <c r="Q279" s="77" t="n"/>
      <c r="R279" s="77" t="n"/>
      <c r="S279" s="77" t="n"/>
      <c r="T279" s="77" t="n"/>
      <c r="U279" s="77" t="n"/>
    </row>
    <row r="280" ht="15.75" customHeight="1" s="360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77" t="n"/>
      <c r="Q280" s="77" t="n"/>
      <c r="R280" s="77" t="n"/>
      <c r="S280" s="77" t="n"/>
      <c r="T280" s="77" t="n"/>
      <c r="U280" s="77" t="n"/>
    </row>
    <row r="281" ht="15.75" customHeight="1" s="360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77" t="n"/>
      <c r="Q281" s="77" t="n"/>
      <c r="R281" s="77" t="n"/>
      <c r="S281" s="77" t="n"/>
      <c r="T281" s="77" t="n"/>
      <c r="U281" s="77" t="n"/>
    </row>
    <row r="282" ht="15.75" customHeight="1" s="360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77" t="n"/>
      <c r="Q282" s="77" t="n"/>
      <c r="R282" s="77" t="n"/>
      <c r="S282" s="77" t="n"/>
      <c r="T282" s="77" t="n"/>
      <c r="U282" s="77" t="n"/>
    </row>
    <row r="283" ht="15.75" customHeight="1" s="360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77" t="n"/>
      <c r="Q283" s="77" t="n"/>
      <c r="R283" s="77" t="n"/>
      <c r="S283" s="77" t="n"/>
      <c r="T283" s="77" t="n"/>
      <c r="U283" s="77" t="n"/>
    </row>
    <row r="284" ht="15.75" customHeight="1" s="360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77" t="n"/>
      <c r="Q284" s="77" t="n"/>
      <c r="R284" s="77" t="n"/>
      <c r="S284" s="77" t="n"/>
      <c r="T284" s="77" t="n"/>
      <c r="U284" s="77" t="n"/>
    </row>
    <row r="285" ht="15.75" customHeight="1" s="360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77" t="n"/>
      <c r="Q285" s="77" t="n"/>
      <c r="R285" s="77" t="n"/>
      <c r="S285" s="77" t="n"/>
      <c r="T285" s="77" t="n"/>
      <c r="U285" s="77" t="n"/>
    </row>
    <row r="286" ht="15.75" customHeight="1" s="360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77" t="n"/>
      <c r="Q286" s="77" t="n"/>
      <c r="R286" s="77" t="n"/>
      <c r="S286" s="77" t="n"/>
      <c r="T286" s="77" t="n"/>
      <c r="U286" s="77" t="n"/>
    </row>
    <row r="287" ht="15.75" customHeight="1" s="360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77" t="n"/>
      <c r="Q287" s="77" t="n"/>
      <c r="R287" s="77" t="n"/>
      <c r="S287" s="77" t="n"/>
      <c r="T287" s="77" t="n"/>
      <c r="U287" s="77" t="n"/>
    </row>
    <row r="288" ht="15.75" customHeight="1" s="360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77" t="n"/>
      <c r="Q288" s="77" t="n"/>
      <c r="R288" s="77" t="n"/>
      <c r="S288" s="77" t="n"/>
      <c r="T288" s="77" t="n"/>
      <c r="U288" s="77" t="n"/>
    </row>
    <row r="289" ht="15.75" customHeight="1" s="360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77" t="n"/>
      <c r="Q289" s="77" t="n"/>
      <c r="R289" s="77" t="n"/>
      <c r="S289" s="77" t="n"/>
      <c r="T289" s="77" t="n"/>
      <c r="U289" s="77" t="n"/>
    </row>
    <row r="290" ht="15.75" customHeight="1" s="360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77" t="n"/>
      <c r="Q290" s="77" t="n"/>
      <c r="R290" s="77" t="n"/>
      <c r="S290" s="77" t="n"/>
      <c r="T290" s="77" t="n"/>
      <c r="U290" s="77" t="n"/>
    </row>
    <row r="291" ht="15.75" customHeight="1" s="360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77" t="n"/>
      <c r="Q291" s="77" t="n"/>
      <c r="R291" s="77" t="n"/>
      <c r="S291" s="77" t="n"/>
      <c r="T291" s="77" t="n"/>
      <c r="U291" s="77" t="n"/>
    </row>
    <row r="292" ht="15.75" customHeight="1" s="360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77" t="n"/>
      <c r="Q292" s="77" t="n"/>
      <c r="R292" s="77" t="n"/>
      <c r="S292" s="77" t="n"/>
      <c r="T292" s="77" t="n"/>
      <c r="U292" s="77" t="n"/>
    </row>
    <row r="293" ht="15.75" customHeight="1" s="360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77" t="n"/>
      <c r="Q293" s="77" t="n"/>
      <c r="R293" s="77" t="n"/>
      <c r="S293" s="77" t="n"/>
      <c r="T293" s="77" t="n"/>
      <c r="U293" s="77" t="n"/>
    </row>
    <row r="294" ht="15.75" customHeight="1" s="360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77" t="n"/>
      <c r="Q294" s="77" t="n"/>
      <c r="R294" s="77" t="n"/>
      <c r="S294" s="77" t="n"/>
      <c r="T294" s="77" t="n"/>
      <c r="U294" s="77" t="n"/>
    </row>
    <row r="295" ht="15.75" customHeight="1" s="360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77" t="n"/>
      <c r="Q295" s="77" t="n"/>
      <c r="R295" s="77" t="n"/>
      <c r="S295" s="77" t="n"/>
      <c r="T295" s="77" t="n"/>
      <c r="U295" s="77" t="n"/>
    </row>
    <row r="296" ht="15.75" customHeight="1" s="360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77" t="n"/>
      <c r="Q296" s="77" t="n"/>
      <c r="R296" s="77" t="n"/>
      <c r="S296" s="77" t="n"/>
      <c r="T296" s="77" t="n"/>
      <c r="U296" s="77" t="n"/>
    </row>
    <row r="297" ht="15.75" customHeight="1" s="360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77" t="n"/>
      <c r="Q297" s="77" t="n"/>
      <c r="R297" s="77" t="n"/>
      <c r="S297" s="77" t="n"/>
      <c r="T297" s="77" t="n"/>
      <c r="U297" s="77" t="n"/>
    </row>
    <row r="298" ht="15.75" customHeight="1" s="360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77" t="n"/>
      <c r="Q298" s="77" t="n"/>
      <c r="R298" s="77" t="n"/>
      <c r="S298" s="77" t="n"/>
      <c r="T298" s="77" t="n"/>
      <c r="U298" s="77" t="n"/>
    </row>
    <row r="299" ht="15.75" customHeight="1" s="360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77" t="n"/>
      <c r="Q299" s="77" t="n"/>
      <c r="R299" s="77" t="n"/>
      <c r="S299" s="77" t="n"/>
      <c r="T299" s="77" t="n"/>
      <c r="U299" s="77" t="n"/>
    </row>
    <row r="300" ht="15.75" customHeight="1" s="360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77" t="n"/>
      <c r="Q300" s="77" t="n"/>
      <c r="R300" s="77" t="n"/>
      <c r="S300" s="77" t="n"/>
      <c r="T300" s="77" t="n"/>
      <c r="U300" s="77" t="n"/>
    </row>
    <row r="301" ht="15.75" customHeight="1" s="360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77" t="n"/>
      <c r="Q301" s="77" t="n"/>
      <c r="R301" s="77" t="n"/>
      <c r="S301" s="77" t="n"/>
      <c r="T301" s="77" t="n"/>
      <c r="U301" s="77" t="n"/>
    </row>
    <row r="302" ht="15.75" customHeight="1" s="360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77" t="n"/>
      <c r="Q302" s="77" t="n"/>
      <c r="R302" s="77" t="n"/>
      <c r="S302" s="77" t="n"/>
      <c r="T302" s="77" t="n"/>
      <c r="U302" s="77" t="n"/>
    </row>
    <row r="303" ht="15.75" customHeight="1" s="360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77" t="n"/>
      <c r="Q303" s="77" t="n"/>
      <c r="R303" s="77" t="n"/>
      <c r="S303" s="77" t="n"/>
      <c r="T303" s="77" t="n"/>
      <c r="U303" s="77" t="n"/>
    </row>
    <row r="304" ht="15.75" customHeight="1" s="360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77" t="n"/>
      <c r="Q304" s="77" t="n"/>
      <c r="R304" s="77" t="n"/>
      <c r="S304" s="77" t="n"/>
      <c r="T304" s="77" t="n"/>
      <c r="U304" s="77" t="n"/>
    </row>
    <row r="305" ht="15.75" customHeight="1" s="360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77" t="n"/>
      <c r="Q305" s="77" t="n"/>
      <c r="R305" s="77" t="n"/>
      <c r="S305" s="77" t="n"/>
      <c r="T305" s="77" t="n"/>
      <c r="U305" s="77" t="n"/>
    </row>
    <row r="306" ht="15.75" customHeight="1" s="360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77" t="n"/>
      <c r="Q306" s="77" t="n"/>
      <c r="R306" s="77" t="n"/>
      <c r="S306" s="77" t="n"/>
      <c r="T306" s="77" t="n"/>
      <c r="U306" s="77" t="n"/>
    </row>
    <row r="307" ht="15.75" customHeight="1" s="360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77" t="n"/>
      <c r="Q307" s="77" t="n"/>
      <c r="R307" s="77" t="n"/>
      <c r="S307" s="77" t="n"/>
      <c r="T307" s="77" t="n"/>
      <c r="U307" s="77" t="n"/>
    </row>
    <row r="308" ht="15.75" customHeight="1" s="360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77" t="n"/>
      <c r="Q308" s="77" t="n"/>
      <c r="R308" s="77" t="n"/>
      <c r="S308" s="77" t="n"/>
      <c r="T308" s="77" t="n"/>
      <c r="U308" s="77" t="n"/>
    </row>
    <row r="309" ht="15.75" customHeight="1" s="360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77" t="n"/>
      <c r="Q309" s="77" t="n"/>
      <c r="R309" s="77" t="n"/>
      <c r="S309" s="77" t="n"/>
      <c r="T309" s="77" t="n"/>
      <c r="U309" s="77" t="n"/>
    </row>
    <row r="310" ht="15.75" customHeight="1" s="360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77" t="n"/>
      <c r="Q310" s="77" t="n"/>
      <c r="R310" s="77" t="n"/>
      <c r="S310" s="77" t="n"/>
      <c r="T310" s="77" t="n"/>
      <c r="U310" s="77" t="n"/>
    </row>
    <row r="311" ht="15.75" customHeight="1" s="360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77" t="n"/>
      <c r="Q311" s="77" t="n"/>
      <c r="R311" s="77" t="n"/>
      <c r="S311" s="77" t="n"/>
      <c r="T311" s="77" t="n"/>
      <c r="U311" s="77" t="n"/>
    </row>
    <row r="312" ht="15.75" customHeight="1" s="360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77" t="n"/>
      <c r="Q312" s="77" t="n"/>
      <c r="R312" s="77" t="n"/>
      <c r="S312" s="77" t="n"/>
      <c r="T312" s="77" t="n"/>
      <c r="U312" s="77" t="n"/>
    </row>
    <row r="313" ht="15.75" customHeight="1" s="360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  <c r="P313" s="77" t="n"/>
      <c r="Q313" s="77" t="n"/>
      <c r="R313" s="77" t="n"/>
      <c r="S313" s="77" t="n"/>
      <c r="T313" s="77" t="n"/>
      <c r="U313" s="77" t="n"/>
    </row>
    <row r="314" ht="15.75" customHeight="1" s="360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77" t="n"/>
      <c r="Q314" s="77" t="n"/>
      <c r="R314" s="77" t="n"/>
      <c r="S314" s="77" t="n"/>
      <c r="T314" s="77" t="n"/>
      <c r="U314" s="77" t="n"/>
    </row>
    <row r="315" ht="15.75" customHeight="1" s="360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77" t="n"/>
      <c r="Q315" s="77" t="n"/>
      <c r="R315" s="77" t="n"/>
      <c r="S315" s="77" t="n"/>
      <c r="T315" s="77" t="n"/>
      <c r="U315" s="77" t="n"/>
    </row>
    <row r="316" ht="15.75" customHeight="1" s="360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77" t="n"/>
      <c r="Q316" s="77" t="n"/>
      <c r="R316" s="77" t="n"/>
      <c r="S316" s="77" t="n"/>
      <c r="T316" s="77" t="n"/>
      <c r="U316" s="77" t="n"/>
    </row>
    <row r="317" ht="15.75" customHeight="1" s="360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77" t="n"/>
      <c r="Q317" s="77" t="n"/>
      <c r="R317" s="77" t="n"/>
      <c r="S317" s="77" t="n"/>
      <c r="T317" s="77" t="n"/>
      <c r="U317" s="77" t="n"/>
    </row>
    <row r="318" ht="15.75" customHeight="1" s="360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77" t="n"/>
      <c r="Q318" s="77" t="n"/>
      <c r="R318" s="77" t="n"/>
      <c r="S318" s="77" t="n"/>
      <c r="T318" s="77" t="n"/>
      <c r="U318" s="77" t="n"/>
    </row>
    <row r="319" ht="15.75" customHeight="1" s="360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77" t="n"/>
      <c r="Q319" s="77" t="n"/>
      <c r="R319" s="77" t="n"/>
      <c r="S319" s="77" t="n"/>
      <c r="T319" s="77" t="n"/>
      <c r="U319" s="77" t="n"/>
    </row>
    <row r="320" ht="15.75" customHeight="1" s="360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77" t="n"/>
      <c r="Q320" s="77" t="n"/>
      <c r="R320" s="77" t="n"/>
      <c r="S320" s="77" t="n"/>
      <c r="T320" s="77" t="n"/>
      <c r="U320" s="77" t="n"/>
    </row>
    <row r="321" ht="15.75" customHeight="1" s="360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77" t="n"/>
      <c r="Q321" s="77" t="n"/>
      <c r="R321" s="77" t="n"/>
      <c r="S321" s="77" t="n"/>
      <c r="T321" s="77" t="n"/>
      <c r="U321" s="77" t="n"/>
    </row>
    <row r="322" ht="15.75" customHeight="1" s="360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77" t="n"/>
      <c r="Q322" s="77" t="n"/>
      <c r="R322" s="77" t="n"/>
      <c r="S322" s="77" t="n"/>
      <c r="T322" s="77" t="n"/>
      <c r="U322" s="77" t="n"/>
    </row>
    <row r="323" ht="15.75" customHeight="1" s="360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77" t="n"/>
      <c r="Q323" s="77" t="n"/>
      <c r="R323" s="77" t="n"/>
      <c r="S323" s="77" t="n"/>
      <c r="T323" s="77" t="n"/>
      <c r="U323" s="77" t="n"/>
    </row>
    <row r="324" ht="15.75" customHeight="1" s="360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77" t="n"/>
      <c r="Q324" s="77" t="n"/>
      <c r="R324" s="77" t="n"/>
      <c r="S324" s="77" t="n"/>
      <c r="T324" s="77" t="n"/>
      <c r="U324" s="77" t="n"/>
    </row>
    <row r="325" ht="15.75" customHeight="1" s="360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77" t="n"/>
      <c r="Q325" s="77" t="n"/>
      <c r="R325" s="77" t="n"/>
      <c r="S325" s="77" t="n"/>
      <c r="T325" s="77" t="n"/>
      <c r="U325" s="77" t="n"/>
    </row>
    <row r="326" ht="15.75" customHeight="1" s="360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77" t="n"/>
      <c r="Q326" s="77" t="n"/>
      <c r="R326" s="77" t="n"/>
      <c r="S326" s="77" t="n"/>
      <c r="T326" s="77" t="n"/>
      <c r="U326" s="77" t="n"/>
    </row>
    <row r="327" ht="15.75" customHeight="1" s="360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77" t="n"/>
      <c r="Q327" s="77" t="n"/>
      <c r="R327" s="77" t="n"/>
      <c r="S327" s="77" t="n"/>
      <c r="T327" s="77" t="n"/>
      <c r="U327" s="77" t="n"/>
    </row>
    <row r="328" ht="15.75" customHeight="1" s="360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77" t="n"/>
      <c r="Q328" s="77" t="n"/>
      <c r="R328" s="77" t="n"/>
      <c r="S328" s="77" t="n"/>
      <c r="T328" s="77" t="n"/>
      <c r="U328" s="77" t="n"/>
    </row>
    <row r="329" ht="15.75" customHeight="1" s="360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77" t="n"/>
      <c r="Q329" s="77" t="n"/>
      <c r="R329" s="77" t="n"/>
      <c r="S329" s="77" t="n"/>
      <c r="T329" s="77" t="n"/>
      <c r="U329" s="77" t="n"/>
    </row>
    <row r="330" ht="15.75" customHeight="1" s="360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77" t="n"/>
      <c r="Q330" s="77" t="n"/>
      <c r="R330" s="77" t="n"/>
      <c r="S330" s="77" t="n"/>
      <c r="T330" s="77" t="n"/>
      <c r="U330" s="77" t="n"/>
    </row>
    <row r="331" ht="15.75" customHeight="1" s="360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77" t="n"/>
      <c r="Q331" s="77" t="n"/>
      <c r="R331" s="77" t="n"/>
      <c r="S331" s="77" t="n"/>
      <c r="T331" s="77" t="n"/>
      <c r="U331" s="77" t="n"/>
    </row>
    <row r="332" ht="15.75" customHeight="1" s="360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77" t="n"/>
      <c r="Q332" s="77" t="n"/>
      <c r="R332" s="77" t="n"/>
      <c r="S332" s="77" t="n"/>
      <c r="T332" s="77" t="n"/>
      <c r="U332" s="77" t="n"/>
    </row>
    <row r="333" ht="15.75" customHeight="1" s="360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77" t="n"/>
      <c r="Q333" s="77" t="n"/>
      <c r="R333" s="77" t="n"/>
      <c r="S333" s="77" t="n"/>
      <c r="T333" s="77" t="n"/>
      <c r="U333" s="77" t="n"/>
    </row>
    <row r="334" ht="15.75" customHeight="1" s="360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77" t="n"/>
      <c r="Q334" s="77" t="n"/>
      <c r="R334" s="77" t="n"/>
      <c r="S334" s="77" t="n"/>
      <c r="T334" s="77" t="n"/>
      <c r="U334" s="77" t="n"/>
    </row>
    <row r="335" ht="15.75" customHeight="1" s="360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77" t="n"/>
      <c r="Q335" s="77" t="n"/>
      <c r="R335" s="77" t="n"/>
      <c r="S335" s="77" t="n"/>
      <c r="T335" s="77" t="n"/>
      <c r="U335" s="77" t="n"/>
    </row>
    <row r="336" ht="15.75" customHeight="1" s="360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77" t="n"/>
      <c r="Q336" s="77" t="n"/>
      <c r="R336" s="77" t="n"/>
      <c r="S336" s="77" t="n"/>
      <c r="T336" s="77" t="n"/>
      <c r="U336" s="77" t="n"/>
    </row>
    <row r="337" ht="15.75" customHeight="1" s="360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77" t="n"/>
      <c r="Q337" s="77" t="n"/>
      <c r="R337" s="77" t="n"/>
      <c r="S337" s="77" t="n"/>
      <c r="T337" s="77" t="n"/>
      <c r="U337" s="77" t="n"/>
    </row>
    <row r="338" ht="15.75" customHeight="1" s="360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77" t="n"/>
      <c r="Q338" s="77" t="n"/>
      <c r="R338" s="77" t="n"/>
      <c r="S338" s="77" t="n"/>
      <c r="T338" s="77" t="n"/>
      <c r="U338" s="77" t="n"/>
    </row>
    <row r="339" ht="15.75" customHeight="1" s="360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77" t="n"/>
      <c r="Q339" s="77" t="n"/>
      <c r="R339" s="77" t="n"/>
      <c r="S339" s="77" t="n"/>
      <c r="T339" s="77" t="n"/>
      <c r="U339" s="77" t="n"/>
    </row>
    <row r="340" ht="15.75" customHeight="1" s="360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77" t="n"/>
      <c r="Q340" s="77" t="n"/>
      <c r="R340" s="77" t="n"/>
      <c r="S340" s="77" t="n"/>
      <c r="T340" s="77" t="n"/>
      <c r="U340" s="77" t="n"/>
    </row>
    <row r="341" ht="15.75" customHeight="1" s="360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77" t="n"/>
      <c r="Q341" s="77" t="n"/>
      <c r="R341" s="77" t="n"/>
      <c r="S341" s="77" t="n"/>
      <c r="T341" s="77" t="n"/>
      <c r="U341" s="77" t="n"/>
    </row>
    <row r="342" ht="15.75" customHeight="1" s="360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  <c r="O342" s="77" t="n"/>
      <c r="P342" s="77" t="n"/>
      <c r="Q342" s="77" t="n"/>
      <c r="R342" s="77" t="n"/>
      <c r="S342" s="77" t="n"/>
      <c r="T342" s="77" t="n"/>
      <c r="U342" s="77" t="n"/>
    </row>
    <row r="343" ht="15.75" customHeight="1" s="360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  <c r="P343" s="77" t="n"/>
      <c r="Q343" s="77" t="n"/>
      <c r="R343" s="77" t="n"/>
      <c r="S343" s="77" t="n"/>
      <c r="T343" s="77" t="n"/>
      <c r="U343" s="77" t="n"/>
    </row>
    <row r="344" ht="15.75" customHeight="1" s="360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  <c r="O344" s="77" t="n"/>
      <c r="P344" s="77" t="n"/>
      <c r="Q344" s="77" t="n"/>
      <c r="R344" s="77" t="n"/>
      <c r="S344" s="77" t="n"/>
      <c r="T344" s="77" t="n"/>
      <c r="U344" s="77" t="n"/>
    </row>
    <row r="345" ht="15.75" customHeight="1" s="360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  <c r="P345" s="77" t="n"/>
      <c r="Q345" s="77" t="n"/>
      <c r="R345" s="77" t="n"/>
      <c r="S345" s="77" t="n"/>
      <c r="T345" s="77" t="n"/>
      <c r="U345" s="77" t="n"/>
    </row>
    <row r="346" ht="15.75" customHeight="1" s="360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  <c r="O346" s="77" t="n"/>
      <c r="P346" s="77" t="n"/>
      <c r="Q346" s="77" t="n"/>
      <c r="R346" s="77" t="n"/>
      <c r="S346" s="77" t="n"/>
      <c r="T346" s="77" t="n"/>
      <c r="U346" s="77" t="n"/>
    </row>
    <row r="347" ht="15.75" customHeight="1" s="360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  <c r="P347" s="77" t="n"/>
      <c r="Q347" s="77" t="n"/>
      <c r="R347" s="77" t="n"/>
      <c r="S347" s="77" t="n"/>
      <c r="T347" s="77" t="n"/>
      <c r="U347" s="77" t="n"/>
    </row>
    <row r="348" ht="15.75" customHeight="1" s="360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  <c r="O348" s="77" t="n"/>
      <c r="P348" s="77" t="n"/>
      <c r="Q348" s="77" t="n"/>
      <c r="R348" s="77" t="n"/>
      <c r="S348" s="77" t="n"/>
      <c r="T348" s="77" t="n"/>
      <c r="U348" s="77" t="n"/>
    </row>
    <row r="349" ht="15.75" customHeight="1" s="360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  <c r="P349" s="77" t="n"/>
      <c r="Q349" s="77" t="n"/>
      <c r="R349" s="77" t="n"/>
      <c r="S349" s="77" t="n"/>
      <c r="T349" s="77" t="n"/>
      <c r="U349" s="77" t="n"/>
    </row>
    <row r="350" ht="15.75" customHeight="1" s="360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  <c r="O350" s="77" t="n"/>
      <c r="P350" s="77" t="n"/>
      <c r="Q350" s="77" t="n"/>
      <c r="R350" s="77" t="n"/>
      <c r="S350" s="77" t="n"/>
      <c r="T350" s="77" t="n"/>
      <c r="U350" s="77" t="n"/>
    </row>
    <row r="351" ht="15.75" customHeight="1" s="360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  <c r="P351" s="77" t="n"/>
      <c r="Q351" s="77" t="n"/>
      <c r="R351" s="77" t="n"/>
      <c r="S351" s="77" t="n"/>
      <c r="T351" s="77" t="n"/>
      <c r="U351" s="77" t="n"/>
    </row>
    <row r="352" ht="15.75" customHeight="1" s="360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  <c r="O352" s="77" t="n"/>
      <c r="P352" s="77" t="n"/>
      <c r="Q352" s="77" t="n"/>
      <c r="R352" s="77" t="n"/>
      <c r="S352" s="77" t="n"/>
      <c r="T352" s="77" t="n"/>
      <c r="U352" s="77" t="n"/>
    </row>
    <row r="353" ht="15.75" customHeight="1" s="360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  <c r="P353" s="77" t="n"/>
      <c r="Q353" s="77" t="n"/>
      <c r="R353" s="77" t="n"/>
      <c r="S353" s="77" t="n"/>
      <c r="T353" s="77" t="n"/>
      <c r="U353" s="77" t="n"/>
    </row>
    <row r="354" ht="15.75" customHeight="1" s="360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  <c r="O354" s="77" t="n"/>
      <c r="P354" s="77" t="n"/>
      <c r="Q354" s="77" t="n"/>
      <c r="R354" s="77" t="n"/>
      <c r="S354" s="77" t="n"/>
      <c r="T354" s="77" t="n"/>
      <c r="U354" s="77" t="n"/>
    </row>
    <row r="355" ht="15.75" customHeight="1" s="360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  <c r="P355" s="77" t="n"/>
      <c r="Q355" s="77" t="n"/>
      <c r="R355" s="77" t="n"/>
      <c r="S355" s="77" t="n"/>
      <c r="T355" s="77" t="n"/>
      <c r="U355" s="77" t="n"/>
    </row>
    <row r="356" ht="15.75" customHeight="1" s="360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  <c r="O356" s="77" t="n"/>
      <c r="P356" s="77" t="n"/>
      <c r="Q356" s="77" t="n"/>
      <c r="R356" s="77" t="n"/>
      <c r="S356" s="77" t="n"/>
      <c r="T356" s="77" t="n"/>
      <c r="U356" s="77" t="n"/>
    </row>
    <row r="357" ht="15.75" customHeight="1" s="360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  <c r="P357" s="77" t="n"/>
      <c r="Q357" s="77" t="n"/>
      <c r="R357" s="77" t="n"/>
      <c r="S357" s="77" t="n"/>
      <c r="T357" s="77" t="n"/>
      <c r="U357" s="77" t="n"/>
    </row>
    <row r="358" ht="15.75" customHeight="1" s="360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  <c r="O358" s="77" t="n"/>
      <c r="P358" s="77" t="n"/>
      <c r="Q358" s="77" t="n"/>
      <c r="R358" s="77" t="n"/>
      <c r="S358" s="77" t="n"/>
      <c r="T358" s="77" t="n"/>
      <c r="U358" s="77" t="n"/>
    </row>
    <row r="359" ht="15.75" customHeight="1" s="360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  <c r="P359" s="77" t="n"/>
      <c r="Q359" s="77" t="n"/>
      <c r="R359" s="77" t="n"/>
      <c r="S359" s="77" t="n"/>
      <c r="T359" s="77" t="n"/>
      <c r="U359" s="77" t="n"/>
    </row>
    <row r="360" ht="15.75" customHeight="1" s="360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  <c r="O360" s="77" t="n"/>
      <c r="P360" s="77" t="n"/>
      <c r="Q360" s="77" t="n"/>
      <c r="R360" s="77" t="n"/>
      <c r="S360" s="77" t="n"/>
      <c r="T360" s="77" t="n"/>
      <c r="U360" s="77" t="n"/>
    </row>
    <row r="361" ht="15.75" customHeight="1" s="360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  <c r="P361" s="77" t="n"/>
      <c r="Q361" s="77" t="n"/>
      <c r="R361" s="77" t="n"/>
      <c r="S361" s="77" t="n"/>
      <c r="T361" s="77" t="n"/>
      <c r="U361" s="77" t="n"/>
    </row>
    <row r="362" ht="15.75" customHeight="1" s="360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  <c r="O362" s="77" t="n"/>
      <c r="P362" s="77" t="n"/>
      <c r="Q362" s="77" t="n"/>
      <c r="R362" s="77" t="n"/>
      <c r="S362" s="77" t="n"/>
      <c r="T362" s="77" t="n"/>
      <c r="U362" s="77" t="n"/>
    </row>
    <row r="363" ht="15.75" customHeight="1" s="360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  <c r="P363" s="77" t="n"/>
      <c r="Q363" s="77" t="n"/>
      <c r="R363" s="77" t="n"/>
      <c r="S363" s="77" t="n"/>
      <c r="T363" s="77" t="n"/>
      <c r="U363" s="77" t="n"/>
    </row>
    <row r="364" ht="15.75" customHeight="1" s="360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  <c r="O364" s="77" t="n"/>
      <c r="P364" s="77" t="n"/>
      <c r="Q364" s="77" t="n"/>
      <c r="R364" s="77" t="n"/>
      <c r="S364" s="77" t="n"/>
      <c r="T364" s="77" t="n"/>
      <c r="U364" s="77" t="n"/>
    </row>
    <row r="365" ht="15.75" customHeight="1" s="360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  <c r="P365" s="77" t="n"/>
      <c r="Q365" s="77" t="n"/>
      <c r="R365" s="77" t="n"/>
      <c r="S365" s="77" t="n"/>
      <c r="T365" s="77" t="n"/>
      <c r="U365" s="77" t="n"/>
    </row>
    <row r="366" ht="15.75" customHeight="1" s="360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  <c r="O366" s="77" t="n"/>
      <c r="P366" s="77" t="n"/>
      <c r="Q366" s="77" t="n"/>
      <c r="R366" s="77" t="n"/>
      <c r="S366" s="77" t="n"/>
      <c r="T366" s="77" t="n"/>
      <c r="U366" s="77" t="n"/>
    </row>
    <row r="367" ht="15.75" customHeight="1" s="360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  <c r="P367" s="77" t="n"/>
      <c r="Q367" s="77" t="n"/>
      <c r="R367" s="77" t="n"/>
      <c r="S367" s="77" t="n"/>
      <c r="T367" s="77" t="n"/>
      <c r="U367" s="77" t="n"/>
    </row>
    <row r="368" ht="15.75" customHeight="1" s="360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  <c r="O368" s="77" t="n"/>
      <c r="P368" s="77" t="n"/>
      <c r="Q368" s="77" t="n"/>
      <c r="R368" s="77" t="n"/>
      <c r="S368" s="77" t="n"/>
      <c r="T368" s="77" t="n"/>
      <c r="U368" s="77" t="n"/>
    </row>
    <row r="369" ht="15.75" customHeight="1" s="360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  <c r="P369" s="77" t="n"/>
      <c r="Q369" s="77" t="n"/>
      <c r="R369" s="77" t="n"/>
      <c r="S369" s="77" t="n"/>
      <c r="T369" s="77" t="n"/>
      <c r="U369" s="77" t="n"/>
    </row>
    <row r="370" ht="15.75" customHeight="1" s="360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  <c r="O370" s="77" t="n"/>
      <c r="P370" s="77" t="n"/>
      <c r="Q370" s="77" t="n"/>
      <c r="R370" s="77" t="n"/>
      <c r="S370" s="77" t="n"/>
      <c r="T370" s="77" t="n"/>
      <c r="U370" s="77" t="n"/>
    </row>
    <row r="371" ht="15.75" customHeight="1" s="360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  <c r="P371" s="77" t="n"/>
      <c r="Q371" s="77" t="n"/>
      <c r="R371" s="77" t="n"/>
      <c r="S371" s="77" t="n"/>
      <c r="T371" s="77" t="n"/>
      <c r="U371" s="77" t="n"/>
    </row>
    <row r="372" ht="15.75" customHeight="1" s="360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  <c r="O372" s="77" t="n"/>
      <c r="P372" s="77" t="n"/>
      <c r="Q372" s="77" t="n"/>
      <c r="R372" s="77" t="n"/>
      <c r="S372" s="77" t="n"/>
      <c r="T372" s="77" t="n"/>
      <c r="U372" s="77" t="n"/>
    </row>
    <row r="373" ht="15.75" customHeight="1" s="360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  <c r="P373" s="77" t="n"/>
      <c r="Q373" s="77" t="n"/>
      <c r="R373" s="77" t="n"/>
      <c r="S373" s="77" t="n"/>
      <c r="T373" s="77" t="n"/>
      <c r="U373" s="77" t="n"/>
    </row>
    <row r="374" ht="15.75" customHeight="1" s="360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  <c r="O374" s="77" t="n"/>
      <c r="P374" s="77" t="n"/>
      <c r="Q374" s="77" t="n"/>
      <c r="R374" s="77" t="n"/>
      <c r="S374" s="77" t="n"/>
      <c r="T374" s="77" t="n"/>
      <c r="U374" s="77" t="n"/>
    </row>
    <row r="375" ht="15.75" customHeight="1" s="360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  <c r="P375" s="77" t="n"/>
      <c r="Q375" s="77" t="n"/>
      <c r="R375" s="77" t="n"/>
      <c r="S375" s="77" t="n"/>
      <c r="T375" s="77" t="n"/>
      <c r="U375" s="77" t="n"/>
    </row>
    <row r="376" ht="15.75" customHeight="1" s="360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  <c r="O376" s="77" t="n"/>
      <c r="P376" s="77" t="n"/>
      <c r="Q376" s="77" t="n"/>
      <c r="R376" s="77" t="n"/>
      <c r="S376" s="77" t="n"/>
      <c r="T376" s="77" t="n"/>
      <c r="U376" s="77" t="n"/>
    </row>
    <row r="377" ht="15.75" customHeight="1" s="360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  <c r="P377" s="77" t="n"/>
      <c r="Q377" s="77" t="n"/>
      <c r="R377" s="77" t="n"/>
      <c r="S377" s="77" t="n"/>
      <c r="T377" s="77" t="n"/>
      <c r="U377" s="77" t="n"/>
    </row>
    <row r="378" ht="15.75" customHeight="1" s="360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  <c r="O378" s="77" t="n"/>
      <c r="P378" s="77" t="n"/>
      <c r="Q378" s="77" t="n"/>
      <c r="R378" s="77" t="n"/>
      <c r="S378" s="77" t="n"/>
      <c r="T378" s="77" t="n"/>
      <c r="U378" s="77" t="n"/>
    </row>
    <row r="379" ht="15.75" customHeight="1" s="360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  <c r="P379" s="77" t="n"/>
      <c r="Q379" s="77" t="n"/>
      <c r="R379" s="77" t="n"/>
      <c r="S379" s="77" t="n"/>
      <c r="T379" s="77" t="n"/>
      <c r="U379" s="77" t="n"/>
    </row>
    <row r="380" ht="15.75" customHeight="1" s="360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  <c r="O380" s="77" t="n"/>
      <c r="P380" s="77" t="n"/>
      <c r="Q380" s="77" t="n"/>
      <c r="R380" s="77" t="n"/>
      <c r="S380" s="77" t="n"/>
      <c r="T380" s="77" t="n"/>
      <c r="U380" s="77" t="n"/>
    </row>
    <row r="381" ht="15.75" customHeight="1" s="360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  <c r="P381" s="77" t="n"/>
      <c r="Q381" s="77" t="n"/>
      <c r="R381" s="77" t="n"/>
      <c r="S381" s="77" t="n"/>
      <c r="T381" s="77" t="n"/>
      <c r="U381" s="77" t="n"/>
    </row>
    <row r="382" ht="15.75" customHeight="1" s="360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  <c r="O382" s="77" t="n"/>
      <c r="P382" s="77" t="n"/>
      <c r="Q382" s="77" t="n"/>
      <c r="R382" s="77" t="n"/>
      <c r="S382" s="77" t="n"/>
      <c r="T382" s="77" t="n"/>
      <c r="U382" s="77" t="n"/>
    </row>
    <row r="383" ht="15.75" customHeight="1" s="360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  <c r="P383" s="77" t="n"/>
      <c r="Q383" s="77" t="n"/>
      <c r="R383" s="77" t="n"/>
      <c r="S383" s="77" t="n"/>
      <c r="T383" s="77" t="n"/>
      <c r="U383" s="77" t="n"/>
    </row>
    <row r="384" ht="15.75" customHeight="1" s="360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  <c r="O384" s="77" t="n"/>
      <c r="P384" s="77" t="n"/>
      <c r="Q384" s="77" t="n"/>
      <c r="R384" s="77" t="n"/>
      <c r="S384" s="77" t="n"/>
      <c r="T384" s="77" t="n"/>
      <c r="U384" s="77" t="n"/>
    </row>
    <row r="385" ht="15.75" customHeight="1" s="360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  <c r="P385" s="77" t="n"/>
      <c r="Q385" s="77" t="n"/>
      <c r="R385" s="77" t="n"/>
      <c r="S385" s="77" t="n"/>
      <c r="T385" s="77" t="n"/>
      <c r="U385" s="77" t="n"/>
    </row>
    <row r="386" ht="15.75" customHeight="1" s="360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  <c r="O386" s="77" t="n"/>
      <c r="P386" s="77" t="n"/>
      <c r="Q386" s="77" t="n"/>
      <c r="R386" s="77" t="n"/>
      <c r="S386" s="77" t="n"/>
      <c r="T386" s="77" t="n"/>
      <c r="U386" s="77" t="n"/>
    </row>
    <row r="387" ht="15.75" customHeight="1" s="360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  <c r="P387" s="77" t="n"/>
      <c r="Q387" s="77" t="n"/>
      <c r="R387" s="77" t="n"/>
      <c r="S387" s="77" t="n"/>
      <c r="T387" s="77" t="n"/>
      <c r="U387" s="77" t="n"/>
    </row>
    <row r="388" ht="15.75" customHeight="1" s="360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  <c r="O388" s="77" t="n"/>
      <c r="P388" s="77" t="n"/>
      <c r="Q388" s="77" t="n"/>
      <c r="R388" s="77" t="n"/>
      <c r="S388" s="77" t="n"/>
      <c r="T388" s="77" t="n"/>
      <c r="U388" s="77" t="n"/>
    </row>
    <row r="389" ht="15.75" customHeight="1" s="360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  <c r="P389" s="77" t="n"/>
      <c r="Q389" s="77" t="n"/>
      <c r="R389" s="77" t="n"/>
      <c r="S389" s="77" t="n"/>
      <c r="T389" s="77" t="n"/>
      <c r="U389" s="77" t="n"/>
    </row>
    <row r="390" ht="15.75" customHeight="1" s="360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  <c r="O390" s="77" t="n"/>
      <c r="P390" s="77" t="n"/>
      <c r="Q390" s="77" t="n"/>
      <c r="R390" s="77" t="n"/>
      <c r="S390" s="77" t="n"/>
      <c r="T390" s="77" t="n"/>
      <c r="U390" s="77" t="n"/>
    </row>
    <row r="391" ht="15.75" customHeight="1" s="360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  <c r="P391" s="77" t="n"/>
      <c r="Q391" s="77" t="n"/>
      <c r="R391" s="77" t="n"/>
      <c r="S391" s="77" t="n"/>
      <c r="T391" s="77" t="n"/>
      <c r="U391" s="77" t="n"/>
    </row>
    <row r="392" ht="15.75" customHeight="1" s="360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  <c r="O392" s="77" t="n"/>
      <c r="P392" s="77" t="n"/>
      <c r="Q392" s="77" t="n"/>
      <c r="R392" s="77" t="n"/>
      <c r="S392" s="77" t="n"/>
      <c r="T392" s="77" t="n"/>
      <c r="U392" s="77" t="n"/>
    </row>
    <row r="393" ht="15.75" customHeight="1" s="360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  <c r="P393" s="77" t="n"/>
      <c r="Q393" s="77" t="n"/>
      <c r="R393" s="77" t="n"/>
      <c r="S393" s="77" t="n"/>
      <c r="T393" s="77" t="n"/>
      <c r="U393" s="77" t="n"/>
    </row>
    <row r="394" ht="15.75" customHeight="1" s="360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  <c r="O394" s="77" t="n"/>
      <c r="P394" s="77" t="n"/>
      <c r="Q394" s="77" t="n"/>
      <c r="R394" s="77" t="n"/>
      <c r="S394" s="77" t="n"/>
      <c r="T394" s="77" t="n"/>
      <c r="U394" s="77" t="n"/>
    </row>
    <row r="395" ht="15.75" customHeight="1" s="360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  <c r="P395" s="77" t="n"/>
      <c r="Q395" s="77" t="n"/>
      <c r="R395" s="77" t="n"/>
      <c r="S395" s="77" t="n"/>
      <c r="T395" s="77" t="n"/>
      <c r="U395" s="77" t="n"/>
    </row>
    <row r="396" ht="15.75" customHeight="1" s="360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  <c r="O396" s="77" t="n"/>
      <c r="P396" s="77" t="n"/>
      <c r="Q396" s="77" t="n"/>
      <c r="R396" s="77" t="n"/>
      <c r="S396" s="77" t="n"/>
      <c r="T396" s="77" t="n"/>
      <c r="U396" s="77" t="n"/>
    </row>
    <row r="397" ht="15.75" customHeight="1" s="360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  <c r="P397" s="77" t="n"/>
      <c r="Q397" s="77" t="n"/>
      <c r="R397" s="77" t="n"/>
      <c r="S397" s="77" t="n"/>
      <c r="T397" s="77" t="n"/>
      <c r="U397" s="77" t="n"/>
    </row>
    <row r="398" ht="15.75" customHeight="1" s="360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  <c r="O398" s="77" t="n"/>
      <c r="P398" s="77" t="n"/>
      <c r="Q398" s="77" t="n"/>
      <c r="R398" s="77" t="n"/>
      <c r="S398" s="77" t="n"/>
      <c r="T398" s="77" t="n"/>
      <c r="U398" s="77" t="n"/>
    </row>
    <row r="399" ht="15.75" customHeight="1" s="360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  <c r="P399" s="77" t="n"/>
      <c r="Q399" s="77" t="n"/>
      <c r="R399" s="77" t="n"/>
      <c r="S399" s="77" t="n"/>
      <c r="T399" s="77" t="n"/>
      <c r="U399" s="77" t="n"/>
    </row>
    <row r="400" ht="15.75" customHeight="1" s="360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  <c r="O400" s="77" t="n"/>
      <c r="P400" s="77" t="n"/>
      <c r="Q400" s="77" t="n"/>
      <c r="R400" s="77" t="n"/>
      <c r="S400" s="77" t="n"/>
      <c r="T400" s="77" t="n"/>
      <c r="U400" s="77" t="n"/>
    </row>
    <row r="401" ht="15.75" customHeight="1" s="360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  <c r="P401" s="77" t="n"/>
      <c r="Q401" s="77" t="n"/>
      <c r="R401" s="77" t="n"/>
      <c r="S401" s="77" t="n"/>
      <c r="T401" s="77" t="n"/>
      <c r="U401" s="77" t="n"/>
    </row>
    <row r="402" ht="15.75" customHeight="1" s="360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  <c r="O402" s="77" t="n"/>
      <c r="P402" s="77" t="n"/>
      <c r="Q402" s="77" t="n"/>
      <c r="R402" s="77" t="n"/>
      <c r="S402" s="77" t="n"/>
      <c r="T402" s="77" t="n"/>
      <c r="U402" s="77" t="n"/>
    </row>
    <row r="403" ht="15.75" customHeight="1" s="360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  <c r="P403" s="77" t="n"/>
      <c r="Q403" s="77" t="n"/>
      <c r="R403" s="77" t="n"/>
      <c r="S403" s="77" t="n"/>
      <c r="T403" s="77" t="n"/>
      <c r="U403" s="77" t="n"/>
    </row>
    <row r="404" ht="15.75" customHeight="1" s="360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  <c r="O404" s="77" t="n"/>
      <c r="P404" s="77" t="n"/>
      <c r="Q404" s="77" t="n"/>
      <c r="R404" s="77" t="n"/>
      <c r="S404" s="77" t="n"/>
      <c r="T404" s="77" t="n"/>
      <c r="U404" s="77" t="n"/>
    </row>
    <row r="405" ht="15.75" customHeight="1" s="360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  <c r="P405" s="77" t="n"/>
      <c r="Q405" s="77" t="n"/>
      <c r="R405" s="77" t="n"/>
      <c r="S405" s="77" t="n"/>
      <c r="T405" s="77" t="n"/>
      <c r="U405" s="77" t="n"/>
    </row>
    <row r="406" ht="15.75" customHeight="1" s="360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  <c r="O406" s="77" t="n"/>
      <c r="P406" s="77" t="n"/>
      <c r="Q406" s="77" t="n"/>
      <c r="R406" s="77" t="n"/>
      <c r="S406" s="77" t="n"/>
      <c r="T406" s="77" t="n"/>
      <c r="U406" s="77" t="n"/>
    </row>
    <row r="407" ht="15.75" customHeight="1" s="360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  <c r="P407" s="77" t="n"/>
      <c r="Q407" s="77" t="n"/>
      <c r="R407" s="77" t="n"/>
      <c r="S407" s="77" t="n"/>
      <c r="T407" s="77" t="n"/>
      <c r="U407" s="77" t="n"/>
    </row>
    <row r="408" ht="15.75" customHeight="1" s="360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  <c r="O408" s="77" t="n"/>
      <c r="P408" s="77" t="n"/>
      <c r="Q408" s="77" t="n"/>
      <c r="R408" s="77" t="n"/>
      <c r="S408" s="77" t="n"/>
      <c r="T408" s="77" t="n"/>
      <c r="U408" s="77" t="n"/>
    </row>
    <row r="409" ht="15.75" customHeight="1" s="360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  <c r="P409" s="77" t="n"/>
      <c r="Q409" s="77" t="n"/>
      <c r="R409" s="77" t="n"/>
      <c r="S409" s="77" t="n"/>
      <c r="T409" s="77" t="n"/>
      <c r="U409" s="77" t="n"/>
    </row>
    <row r="410" ht="15.75" customHeight="1" s="360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  <c r="O410" s="77" t="n"/>
      <c r="P410" s="77" t="n"/>
      <c r="Q410" s="77" t="n"/>
      <c r="R410" s="77" t="n"/>
      <c r="S410" s="77" t="n"/>
      <c r="T410" s="77" t="n"/>
      <c r="U410" s="77" t="n"/>
    </row>
    <row r="411" ht="15.75" customHeight="1" s="360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  <c r="P411" s="77" t="n"/>
      <c r="Q411" s="77" t="n"/>
      <c r="R411" s="77" t="n"/>
      <c r="S411" s="77" t="n"/>
      <c r="T411" s="77" t="n"/>
      <c r="U411" s="77" t="n"/>
    </row>
    <row r="412" ht="15.75" customHeight="1" s="360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  <c r="O412" s="77" t="n"/>
      <c r="P412" s="77" t="n"/>
      <c r="Q412" s="77" t="n"/>
      <c r="R412" s="77" t="n"/>
      <c r="S412" s="77" t="n"/>
      <c r="T412" s="77" t="n"/>
      <c r="U412" s="77" t="n"/>
    </row>
    <row r="413" ht="15.75" customHeight="1" s="360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  <c r="P413" s="77" t="n"/>
      <c r="Q413" s="77" t="n"/>
      <c r="R413" s="77" t="n"/>
      <c r="S413" s="77" t="n"/>
      <c r="T413" s="77" t="n"/>
      <c r="U413" s="77" t="n"/>
    </row>
    <row r="414" ht="15.75" customHeight="1" s="360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  <c r="O414" s="77" t="n"/>
      <c r="P414" s="77" t="n"/>
      <c r="Q414" s="77" t="n"/>
      <c r="R414" s="77" t="n"/>
      <c r="S414" s="77" t="n"/>
      <c r="T414" s="77" t="n"/>
      <c r="U414" s="77" t="n"/>
    </row>
    <row r="415" ht="15.75" customHeight="1" s="360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  <c r="P415" s="77" t="n"/>
      <c r="Q415" s="77" t="n"/>
      <c r="R415" s="77" t="n"/>
      <c r="S415" s="77" t="n"/>
      <c r="T415" s="77" t="n"/>
      <c r="U415" s="77" t="n"/>
    </row>
    <row r="416" ht="15.75" customHeight="1" s="360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  <c r="O416" s="77" t="n"/>
      <c r="P416" s="77" t="n"/>
      <c r="Q416" s="77" t="n"/>
      <c r="R416" s="77" t="n"/>
      <c r="S416" s="77" t="n"/>
      <c r="T416" s="77" t="n"/>
      <c r="U416" s="77" t="n"/>
    </row>
    <row r="417" ht="15.75" customHeight="1" s="360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  <c r="P417" s="77" t="n"/>
      <c r="Q417" s="77" t="n"/>
      <c r="R417" s="77" t="n"/>
      <c r="S417" s="77" t="n"/>
      <c r="T417" s="77" t="n"/>
      <c r="U417" s="77" t="n"/>
    </row>
    <row r="418" ht="15.75" customHeight="1" s="360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  <c r="O418" s="77" t="n"/>
      <c r="P418" s="77" t="n"/>
      <c r="Q418" s="77" t="n"/>
      <c r="R418" s="77" t="n"/>
      <c r="S418" s="77" t="n"/>
      <c r="T418" s="77" t="n"/>
      <c r="U418" s="77" t="n"/>
    </row>
    <row r="419" ht="15.75" customHeight="1" s="360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  <c r="P419" s="77" t="n"/>
      <c r="Q419" s="77" t="n"/>
      <c r="R419" s="77" t="n"/>
      <c r="S419" s="77" t="n"/>
      <c r="T419" s="77" t="n"/>
      <c r="U419" s="77" t="n"/>
    </row>
    <row r="420" ht="15.75" customHeight="1" s="360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  <c r="O420" s="77" t="n"/>
      <c r="P420" s="77" t="n"/>
      <c r="Q420" s="77" t="n"/>
      <c r="R420" s="77" t="n"/>
      <c r="S420" s="77" t="n"/>
      <c r="T420" s="77" t="n"/>
      <c r="U420" s="77" t="n"/>
    </row>
    <row r="421" ht="15.75" customHeight="1" s="360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  <c r="P421" s="77" t="n"/>
      <c r="Q421" s="77" t="n"/>
      <c r="R421" s="77" t="n"/>
      <c r="S421" s="77" t="n"/>
      <c r="T421" s="77" t="n"/>
      <c r="U421" s="77" t="n"/>
    </row>
    <row r="422" ht="15.75" customHeight="1" s="360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  <c r="O422" s="77" t="n"/>
      <c r="P422" s="77" t="n"/>
      <c r="Q422" s="77" t="n"/>
      <c r="R422" s="77" t="n"/>
      <c r="S422" s="77" t="n"/>
      <c r="T422" s="77" t="n"/>
      <c r="U422" s="77" t="n"/>
    </row>
    <row r="423" ht="15.75" customHeight="1" s="360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  <c r="P423" s="77" t="n"/>
      <c r="Q423" s="77" t="n"/>
      <c r="R423" s="77" t="n"/>
      <c r="S423" s="77" t="n"/>
      <c r="T423" s="77" t="n"/>
      <c r="U423" s="77" t="n"/>
    </row>
    <row r="424" ht="15.75" customHeight="1" s="360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  <c r="O424" s="77" t="n"/>
      <c r="P424" s="77" t="n"/>
      <c r="Q424" s="77" t="n"/>
      <c r="R424" s="77" t="n"/>
      <c r="S424" s="77" t="n"/>
      <c r="T424" s="77" t="n"/>
      <c r="U424" s="77" t="n"/>
    </row>
    <row r="425" ht="15.75" customHeight="1" s="360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  <c r="P425" s="77" t="n"/>
      <c r="Q425" s="77" t="n"/>
      <c r="R425" s="77" t="n"/>
      <c r="S425" s="77" t="n"/>
      <c r="T425" s="77" t="n"/>
      <c r="U425" s="77" t="n"/>
    </row>
    <row r="426" ht="15.75" customHeight="1" s="360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  <c r="O426" s="77" t="n"/>
      <c r="P426" s="77" t="n"/>
      <c r="Q426" s="77" t="n"/>
      <c r="R426" s="77" t="n"/>
      <c r="S426" s="77" t="n"/>
      <c r="T426" s="77" t="n"/>
      <c r="U426" s="77" t="n"/>
    </row>
    <row r="427" ht="15.75" customHeight="1" s="360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  <c r="P427" s="77" t="n"/>
      <c r="Q427" s="77" t="n"/>
      <c r="R427" s="77" t="n"/>
      <c r="S427" s="77" t="n"/>
      <c r="T427" s="77" t="n"/>
      <c r="U427" s="77" t="n"/>
    </row>
    <row r="428" ht="15.75" customHeight="1" s="360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  <c r="O428" s="77" t="n"/>
      <c r="P428" s="77" t="n"/>
      <c r="Q428" s="77" t="n"/>
      <c r="R428" s="77" t="n"/>
      <c r="S428" s="77" t="n"/>
      <c r="T428" s="77" t="n"/>
      <c r="U428" s="77" t="n"/>
    </row>
    <row r="429" ht="15.75" customHeight="1" s="360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  <c r="P429" s="77" t="n"/>
      <c r="Q429" s="77" t="n"/>
      <c r="R429" s="77" t="n"/>
      <c r="S429" s="77" t="n"/>
      <c r="T429" s="77" t="n"/>
      <c r="U429" s="77" t="n"/>
    </row>
    <row r="430" ht="15.75" customHeight="1" s="360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  <c r="O430" s="77" t="n"/>
      <c r="P430" s="77" t="n"/>
      <c r="Q430" s="77" t="n"/>
      <c r="R430" s="77" t="n"/>
      <c r="S430" s="77" t="n"/>
      <c r="T430" s="77" t="n"/>
      <c r="U430" s="77" t="n"/>
    </row>
    <row r="431" ht="15.75" customHeight="1" s="360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  <c r="P431" s="77" t="n"/>
      <c r="Q431" s="77" t="n"/>
      <c r="R431" s="77" t="n"/>
      <c r="S431" s="77" t="n"/>
      <c r="T431" s="77" t="n"/>
      <c r="U431" s="77" t="n"/>
    </row>
    <row r="432" ht="15.75" customHeight="1" s="360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  <c r="O432" s="77" t="n"/>
      <c r="P432" s="77" t="n"/>
      <c r="Q432" s="77" t="n"/>
      <c r="R432" s="77" t="n"/>
      <c r="S432" s="77" t="n"/>
      <c r="T432" s="77" t="n"/>
      <c r="U432" s="77" t="n"/>
    </row>
    <row r="433" ht="15.75" customHeight="1" s="360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  <c r="P433" s="77" t="n"/>
      <c r="Q433" s="77" t="n"/>
      <c r="R433" s="77" t="n"/>
      <c r="S433" s="77" t="n"/>
      <c r="T433" s="77" t="n"/>
      <c r="U433" s="77" t="n"/>
    </row>
    <row r="434" ht="15.75" customHeight="1" s="360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  <c r="O434" s="77" t="n"/>
      <c r="P434" s="77" t="n"/>
      <c r="Q434" s="77" t="n"/>
      <c r="R434" s="77" t="n"/>
      <c r="S434" s="77" t="n"/>
      <c r="T434" s="77" t="n"/>
      <c r="U434" s="77" t="n"/>
    </row>
    <row r="435" ht="15.75" customHeight="1" s="360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  <c r="P435" s="77" t="n"/>
      <c r="Q435" s="77" t="n"/>
      <c r="R435" s="77" t="n"/>
      <c r="S435" s="77" t="n"/>
      <c r="T435" s="77" t="n"/>
      <c r="U435" s="77" t="n"/>
    </row>
    <row r="436" ht="15.75" customHeight="1" s="360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  <c r="O436" s="77" t="n"/>
      <c r="P436" s="77" t="n"/>
      <c r="Q436" s="77" t="n"/>
      <c r="R436" s="77" t="n"/>
      <c r="S436" s="77" t="n"/>
      <c r="T436" s="77" t="n"/>
      <c r="U436" s="77" t="n"/>
    </row>
    <row r="437" ht="15.75" customHeight="1" s="360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  <c r="P437" s="77" t="n"/>
      <c r="Q437" s="77" t="n"/>
      <c r="R437" s="77" t="n"/>
      <c r="S437" s="77" t="n"/>
      <c r="T437" s="77" t="n"/>
      <c r="U437" s="77" t="n"/>
    </row>
    <row r="438" ht="15.75" customHeight="1" s="360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  <c r="O438" s="77" t="n"/>
      <c r="P438" s="77" t="n"/>
      <c r="Q438" s="77" t="n"/>
      <c r="R438" s="77" t="n"/>
      <c r="S438" s="77" t="n"/>
      <c r="T438" s="77" t="n"/>
      <c r="U438" s="77" t="n"/>
    </row>
    <row r="439" ht="15.75" customHeight="1" s="360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  <c r="P439" s="77" t="n"/>
      <c r="Q439" s="77" t="n"/>
      <c r="R439" s="77" t="n"/>
      <c r="S439" s="77" t="n"/>
      <c r="T439" s="77" t="n"/>
      <c r="U439" s="77" t="n"/>
    </row>
    <row r="440" ht="15.75" customHeight="1" s="360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  <c r="O440" s="77" t="n"/>
      <c r="P440" s="77" t="n"/>
      <c r="Q440" s="77" t="n"/>
      <c r="R440" s="77" t="n"/>
      <c r="S440" s="77" t="n"/>
      <c r="T440" s="77" t="n"/>
      <c r="U440" s="77" t="n"/>
    </row>
    <row r="441" ht="15.75" customHeight="1" s="360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  <c r="P441" s="77" t="n"/>
      <c r="Q441" s="77" t="n"/>
      <c r="R441" s="77" t="n"/>
      <c r="S441" s="77" t="n"/>
      <c r="T441" s="77" t="n"/>
      <c r="U441" s="77" t="n"/>
    </row>
    <row r="442" ht="15.75" customHeight="1" s="360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  <c r="O442" s="77" t="n"/>
      <c r="P442" s="77" t="n"/>
      <c r="Q442" s="77" t="n"/>
      <c r="R442" s="77" t="n"/>
      <c r="S442" s="77" t="n"/>
      <c r="T442" s="77" t="n"/>
      <c r="U442" s="77" t="n"/>
    </row>
    <row r="443" ht="15.75" customHeight="1" s="360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  <c r="P443" s="77" t="n"/>
      <c r="Q443" s="77" t="n"/>
      <c r="R443" s="77" t="n"/>
      <c r="S443" s="77" t="n"/>
      <c r="T443" s="77" t="n"/>
      <c r="U443" s="77" t="n"/>
    </row>
    <row r="444" ht="15.75" customHeight="1" s="360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  <c r="O444" s="77" t="n"/>
      <c r="P444" s="77" t="n"/>
      <c r="Q444" s="77" t="n"/>
      <c r="R444" s="77" t="n"/>
      <c r="S444" s="77" t="n"/>
      <c r="T444" s="77" t="n"/>
      <c r="U444" s="77" t="n"/>
    </row>
    <row r="445" ht="15.75" customHeight="1" s="360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  <c r="P445" s="77" t="n"/>
      <c r="Q445" s="77" t="n"/>
      <c r="R445" s="77" t="n"/>
      <c r="S445" s="77" t="n"/>
      <c r="T445" s="77" t="n"/>
      <c r="U445" s="77" t="n"/>
    </row>
    <row r="446" ht="15.75" customHeight="1" s="360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  <c r="O446" s="77" t="n"/>
      <c r="P446" s="77" t="n"/>
      <c r="Q446" s="77" t="n"/>
      <c r="R446" s="77" t="n"/>
      <c r="S446" s="77" t="n"/>
      <c r="T446" s="77" t="n"/>
      <c r="U446" s="77" t="n"/>
    </row>
    <row r="447" ht="15.75" customHeight="1" s="360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  <c r="P447" s="77" t="n"/>
      <c r="Q447" s="77" t="n"/>
      <c r="R447" s="77" t="n"/>
      <c r="S447" s="77" t="n"/>
      <c r="T447" s="77" t="n"/>
      <c r="U447" s="77" t="n"/>
    </row>
    <row r="448" ht="15.75" customHeight="1" s="360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  <c r="O448" s="77" t="n"/>
      <c r="P448" s="77" t="n"/>
      <c r="Q448" s="77" t="n"/>
      <c r="R448" s="77" t="n"/>
      <c r="S448" s="77" t="n"/>
      <c r="T448" s="77" t="n"/>
      <c r="U448" s="77" t="n"/>
    </row>
    <row r="449" ht="15.75" customHeight="1" s="360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  <c r="P449" s="77" t="n"/>
      <c r="Q449" s="77" t="n"/>
      <c r="R449" s="77" t="n"/>
      <c r="S449" s="77" t="n"/>
      <c r="T449" s="77" t="n"/>
      <c r="U449" s="77" t="n"/>
    </row>
    <row r="450" ht="15.75" customHeight="1" s="360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  <c r="O450" s="77" t="n"/>
      <c r="P450" s="77" t="n"/>
      <c r="Q450" s="77" t="n"/>
      <c r="R450" s="77" t="n"/>
      <c r="S450" s="77" t="n"/>
      <c r="T450" s="77" t="n"/>
      <c r="U450" s="77" t="n"/>
    </row>
    <row r="451" ht="15.75" customHeight="1" s="360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  <c r="P451" s="77" t="n"/>
      <c r="Q451" s="77" t="n"/>
      <c r="R451" s="77" t="n"/>
      <c r="S451" s="77" t="n"/>
      <c r="T451" s="77" t="n"/>
      <c r="U451" s="77" t="n"/>
    </row>
    <row r="452" ht="15.75" customHeight="1" s="360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  <c r="O452" s="77" t="n"/>
      <c r="P452" s="77" t="n"/>
      <c r="Q452" s="77" t="n"/>
      <c r="R452" s="77" t="n"/>
      <c r="S452" s="77" t="n"/>
      <c r="T452" s="77" t="n"/>
      <c r="U452" s="77" t="n"/>
    </row>
    <row r="453" ht="15.75" customHeight="1" s="360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  <c r="P453" s="77" t="n"/>
      <c r="Q453" s="77" t="n"/>
      <c r="R453" s="77" t="n"/>
      <c r="S453" s="77" t="n"/>
      <c r="T453" s="77" t="n"/>
      <c r="U453" s="77" t="n"/>
    </row>
    <row r="454" ht="15.75" customHeight="1" s="360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  <c r="O454" s="77" t="n"/>
      <c r="P454" s="77" t="n"/>
      <c r="Q454" s="77" t="n"/>
      <c r="R454" s="77" t="n"/>
      <c r="S454" s="77" t="n"/>
      <c r="T454" s="77" t="n"/>
      <c r="U454" s="77" t="n"/>
    </row>
    <row r="455" ht="15.75" customHeight="1" s="360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  <c r="P455" s="77" t="n"/>
      <c r="Q455" s="77" t="n"/>
      <c r="R455" s="77" t="n"/>
      <c r="S455" s="77" t="n"/>
      <c r="T455" s="77" t="n"/>
      <c r="U455" s="77" t="n"/>
    </row>
    <row r="456" ht="15.75" customHeight="1" s="360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  <c r="O456" s="77" t="n"/>
      <c r="P456" s="77" t="n"/>
      <c r="Q456" s="77" t="n"/>
      <c r="R456" s="77" t="n"/>
      <c r="S456" s="77" t="n"/>
      <c r="T456" s="77" t="n"/>
      <c r="U456" s="77" t="n"/>
    </row>
    <row r="457" ht="15.75" customHeight="1" s="360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  <c r="P457" s="77" t="n"/>
      <c r="Q457" s="77" t="n"/>
      <c r="R457" s="77" t="n"/>
      <c r="S457" s="77" t="n"/>
      <c r="T457" s="77" t="n"/>
      <c r="U457" s="77" t="n"/>
    </row>
    <row r="458" ht="15.75" customHeight="1" s="360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  <c r="O458" s="77" t="n"/>
      <c r="P458" s="77" t="n"/>
      <c r="Q458" s="77" t="n"/>
      <c r="R458" s="77" t="n"/>
      <c r="S458" s="77" t="n"/>
      <c r="T458" s="77" t="n"/>
      <c r="U458" s="77" t="n"/>
    </row>
    <row r="459" ht="15.75" customHeight="1" s="360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  <c r="P459" s="77" t="n"/>
      <c r="Q459" s="77" t="n"/>
      <c r="R459" s="77" t="n"/>
      <c r="S459" s="77" t="n"/>
      <c r="T459" s="77" t="n"/>
      <c r="U459" s="77" t="n"/>
    </row>
    <row r="460" ht="15.75" customHeight="1" s="360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  <c r="O460" s="77" t="n"/>
      <c r="P460" s="77" t="n"/>
      <c r="Q460" s="77" t="n"/>
      <c r="R460" s="77" t="n"/>
      <c r="S460" s="77" t="n"/>
      <c r="T460" s="77" t="n"/>
      <c r="U460" s="77" t="n"/>
    </row>
    <row r="461" ht="15.75" customHeight="1" s="360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  <c r="P461" s="77" t="n"/>
      <c r="Q461" s="77" t="n"/>
      <c r="R461" s="77" t="n"/>
      <c r="S461" s="77" t="n"/>
      <c r="T461" s="77" t="n"/>
      <c r="U461" s="77" t="n"/>
    </row>
    <row r="462" ht="15.75" customHeight="1" s="360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  <c r="O462" s="77" t="n"/>
      <c r="P462" s="77" t="n"/>
      <c r="Q462" s="77" t="n"/>
      <c r="R462" s="77" t="n"/>
      <c r="S462" s="77" t="n"/>
      <c r="T462" s="77" t="n"/>
      <c r="U462" s="77" t="n"/>
    </row>
    <row r="463" ht="15.75" customHeight="1" s="360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  <c r="P463" s="77" t="n"/>
      <c r="Q463" s="77" t="n"/>
      <c r="R463" s="77" t="n"/>
      <c r="S463" s="77" t="n"/>
      <c r="T463" s="77" t="n"/>
      <c r="U463" s="77" t="n"/>
    </row>
    <row r="464" ht="15.75" customHeight="1" s="360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  <c r="O464" s="77" t="n"/>
      <c r="P464" s="77" t="n"/>
      <c r="Q464" s="77" t="n"/>
      <c r="R464" s="77" t="n"/>
      <c r="S464" s="77" t="n"/>
      <c r="T464" s="77" t="n"/>
      <c r="U464" s="77" t="n"/>
    </row>
    <row r="465" ht="15.75" customHeight="1" s="360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  <c r="P465" s="77" t="n"/>
      <c r="Q465" s="77" t="n"/>
      <c r="R465" s="77" t="n"/>
      <c r="S465" s="77" t="n"/>
      <c r="T465" s="77" t="n"/>
      <c r="U465" s="77" t="n"/>
    </row>
    <row r="466" ht="15.75" customHeight="1" s="360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  <c r="O466" s="77" t="n"/>
      <c r="P466" s="77" t="n"/>
      <c r="Q466" s="77" t="n"/>
      <c r="R466" s="77" t="n"/>
      <c r="S466" s="77" t="n"/>
      <c r="T466" s="77" t="n"/>
      <c r="U466" s="77" t="n"/>
    </row>
    <row r="467" ht="15.75" customHeight="1" s="360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  <c r="P467" s="77" t="n"/>
      <c r="Q467" s="77" t="n"/>
      <c r="R467" s="77" t="n"/>
      <c r="S467" s="77" t="n"/>
      <c r="T467" s="77" t="n"/>
      <c r="U467" s="77" t="n"/>
    </row>
    <row r="468" ht="15.75" customHeight="1" s="360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  <c r="O468" s="77" t="n"/>
      <c r="P468" s="77" t="n"/>
      <c r="Q468" s="77" t="n"/>
      <c r="R468" s="77" t="n"/>
      <c r="S468" s="77" t="n"/>
      <c r="T468" s="77" t="n"/>
      <c r="U468" s="77" t="n"/>
    </row>
    <row r="469" ht="15.75" customHeight="1" s="360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  <c r="P469" s="77" t="n"/>
      <c r="Q469" s="77" t="n"/>
      <c r="R469" s="77" t="n"/>
      <c r="S469" s="77" t="n"/>
      <c r="T469" s="77" t="n"/>
      <c r="U469" s="77" t="n"/>
    </row>
    <row r="470" ht="15.75" customHeight="1" s="360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  <c r="O470" s="77" t="n"/>
      <c r="P470" s="77" t="n"/>
      <c r="Q470" s="77" t="n"/>
      <c r="R470" s="77" t="n"/>
      <c r="S470" s="77" t="n"/>
      <c r="T470" s="77" t="n"/>
      <c r="U470" s="77" t="n"/>
    </row>
    <row r="471" ht="15.75" customHeight="1" s="360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  <c r="P471" s="77" t="n"/>
      <c r="Q471" s="77" t="n"/>
      <c r="R471" s="77" t="n"/>
      <c r="S471" s="77" t="n"/>
      <c r="T471" s="77" t="n"/>
      <c r="U471" s="77" t="n"/>
    </row>
    <row r="472" ht="15.75" customHeight="1" s="360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  <c r="O472" s="77" t="n"/>
      <c r="P472" s="77" t="n"/>
      <c r="Q472" s="77" t="n"/>
      <c r="R472" s="77" t="n"/>
      <c r="S472" s="77" t="n"/>
      <c r="T472" s="77" t="n"/>
      <c r="U472" s="77" t="n"/>
    </row>
    <row r="473" ht="15.75" customHeight="1" s="360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  <c r="P473" s="77" t="n"/>
      <c r="Q473" s="77" t="n"/>
      <c r="R473" s="77" t="n"/>
      <c r="S473" s="77" t="n"/>
      <c r="T473" s="77" t="n"/>
      <c r="U473" s="77" t="n"/>
    </row>
    <row r="474" ht="15.75" customHeight="1" s="360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  <c r="O474" s="77" t="n"/>
      <c r="P474" s="77" t="n"/>
      <c r="Q474" s="77" t="n"/>
      <c r="R474" s="77" t="n"/>
      <c r="S474" s="77" t="n"/>
      <c r="T474" s="77" t="n"/>
      <c r="U474" s="77" t="n"/>
    </row>
    <row r="475" ht="15.75" customHeight="1" s="360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  <c r="P475" s="77" t="n"/>
      <c r="Q475" s="77" t="n"/>
      <c r="R475" s="77" t="n"/>
      <c r="S475" s="77" t="n"/>
      <c r="T475" s="77" t="n"/>
      <c r="U475" s="77" t="n"/>
    </row>
    <row r="476" ht="15.75" customHeight="1" s="360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  <c r="O476" s="77" t="n"/>
      <c r="P476" s="77" t="n"/>
      <c r="Q476" s="77" t="n"/>
      <c r="R476" s="77" t="n"/>
      <c r="S476" s="77" t="n"/>
      <c r="T476" s="77" t="n"/>
      <c r="U476" s="77" t="n"/>
    </row>
    <row r="477" ht="15.75" customHeight="1" s="360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  <c r="P477" s="77" t="n"/>
      <c r="Q477" s="77" t="n"/>
      <c r="R477" s="77" t="n"/>
      <c r="S477" s="77" t="n"/>
      <c r="T477" s="77" t="n"/>
      <c r="U477" s="77" t="n"/>
    </row>
    <row r="478" ht="15.75" customHeight="1" s="360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  <c r="O478" s="77" t="n"/>
      <c r="P478" s="77" t="n"/>
      <c r="Q478" s="77" t="n"/>
      <c r="R478" s="77" t="n"/>
      <c r="S478" s="77" t="n"/>
      <c r="T478" s="77" t="n"/>
      <c r="U478" s="77" t="n"/>
    </row>
    <row r="479" ht="15.75" customHeight="1" s="360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  <c r="P479" s="77" t="n"/>
      <c r="Q479" s="77" t="n"/>
      <c r="R479" s="77" t="n"/>
      <c r="S479" s="77" t="n"/>
      <c r="T479" s="77" t="n"/>
      <c r="U479" s="77" t="n"/>
    </row>
    <row r="480" ht="15.75" customHeight="1" s="360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  <c r="O480" s="77" t="n"/>
      <c r="P480" s="77" t="n"/>
      <c r="Q480" s="77" t="n"/>
      <c r="R480" s="77" t="n"/>
      <c r="S480" s="77" t="n"/>
      <c r="T480" s="77" t="n"/>
      <c r="U480" s="77" t="n"/>
    </row>
    <row r="481" ht="15.75" customHeight="1" s="360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  <c r="P481" s="77" t="n"/>
      <c r="Q481" s="77" t="n"/>
      <c r="R481" s="77" t="n"/>
      <c r="S481" s="77" t="n"/>
      <c r="T481" s="77" t="n"/>
      <c r="U481" s="77" t="n"/>
    </row>
    <row r="482" ht="15.75" customHeight="1" s="360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  <c r="O482" s="77" t="n"/>
      <c r="P482" s="77" t="n"/>
      <c r="Q482" s="77" t="n"/>
      <c r="R482" s="77" t="n"/>
      <c r="S482" s="77" t="n"/>
      <c r="T482" s="77" t="n"/>
      <c r="U482" s="77" t="n"/>
    </row>
    <row r="483" ht="15.75" customHeight="1" s="360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  <c r="P483" s="77" t="n"/>
      <c r="Q483" s="77" t="n"/>
      <c r="R483" s="77" t="n"/>
      <c r="S483" s="77" t="n"/>
      <c r="T483" s="77" t="n"/>
      <c r="U483" s="77" t="n"/>
    </row>
    <row r="484" ht="15.75" customHeight="1" s="360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  <c r="O484" s="77" t="n"/>
      <c r="P484" s="77" t="n"/>
      <c r="Q484" s="77" t="n"/>
      <c r="R484" s="77" t="n"/>
      <c r="S484" s="77" t="n"/>
      <c r="T484" s="77" t="n"/>
      <c r="U484" s="77" t="n"/>
    </row>
    <row r="485" ht="15.75" customHeight="1" s="360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  <c r="P485" s="77" t="n"/>
      <c r="Q485" s="77" t="n"/>
      <c r="R485" s="77" t="n"/>
      <c r="S485" s="77" t="n"/>
      <c r="T485" s="77" t="n"/>
      <c r="U485" s="77" t="n"/>
    </row>
    <row r="486" ht="15.75" customHeight="1" s="360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  <c r="O486" s="77" t="n"/>
      <c r="P486" s="77" t="n"/>
      <c r="Q486" s="77" t="n"/>
      <c r="R486" s="77" t="n"/>
      <c r="S486" s="77" t="n"/>
      <c r="T486" s="77" t="n"/>
      <c r="U486" s="77" t="n"/>
    </row>
    <row r="487" ht="15.75" customHeight="1" s="360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  <c r="P487" s="77" t="n"/>
      <c r="Q487" s="77" t="n"/>
      <c r="R487" s="77" t="n"/>
      <c r="S487" s="77" t="n"/>
      <c r="T487" s="77" t="n"/>
      <c r="U487" s="77" t="n"/>
    </row>
    <row r="488" ht="15.75" customHeight="1" s="360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  <c r="O488" s="77" t="n"/>
      <c r="P488" s="77" t="n"/>
      <c r="Q488" s="77" t="n"/>
      <c r="R488" s="77" t="n"/>
      <c r="S488" s="77" t="n"/>
      <c r="T488" s="77" t="n"/>
      <c r="U488" s="77" t="n"/>
    </row>
    <row r="489" ht="15.75" customHeight="1" s="360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  <c r="P489" s="77" t="n"/>
      <c r="Q489" s="77" t="n"/>
      <c r="R489" s="77" t="n"/>
      <c r="S489" s="77" t="n"/>
      <c r="T489" s="77" t="n"/>
      <c r="U489" s="77" t="n"/>
    </row>
    <row r="490" ht="15.75" customHeight="1" s="360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  <c r="O490" s="77" t="n"/>
      <c r="P490" s="77" t="n"/>
      <c r="Q490" s="77" t="n"/>
      <c r="R490" s="77" t="n"/>
      <c r="S490" s="77" t="n"/>
      <c r="T490" s="77" t="n"/>
      <c r="U490" s="77" t="n"/>
    </row>
    <row r="491" ht="15.75" customHeight="1" s="360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  <c r="P491" s="77" t="n"/>
      <c r="Q491" s="77" t="n"/>
      <c r="R491" s="77" t="n"/>
      <c r="S491" s="77" t="n"/>
      <c r="T491" s="77" t="n"/>
      <c r="U491" s="77" t="n"/>
    </row>
    <row r="492" ht="15.75" customHeight="1" s="360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  <c r="O492" s="77" t="n"/>
      <c r="P492" s="77" t="n"/>
      <c r="Q492" s="77" t="n"/>
      <c r="R492" s="77" t="n"/>
      <c r="S492" s="77" t="n"/>
      <c r="T492" s="77" t="n"/>
      <c r="U492" s="77" t="n"/>
    </row>
    <row r="493" ht="15.75" customHeight="1" s="360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  <c r="P493" s="77" t="n"/>
      <c r="Q493" s="77" t="n"/>
      <c r="R493" s="77" t="n"/>
      <c r="S493" s="77" t="n"/>
      <c r="T493" s="77" t="n"/>
      <c r="U493" s="77" t="n"/>
    </row>
    <row r="494" ht="15.75" customHeight="1" s="360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  <c r="O494" s="77" t="n"/>
      <c r="P494" s="77" t="n"/>
      <c r="Q494" s="77" t="n"/>
      <c r="R494" s="77" t="n"/>
      <c r="S494" s="77" t="n"/>
      <c r="T494" s="77" t="n"/>
      <c r="U494" s="77" t="n"/>
    </row>
    <row r="495" ht="15.75" customHeight="1" s="360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  <c r="P495" s="77" t="n"/>
      <c r="Q495" s="77" t="n"/>
      <c r="R495" s="77" t="n"/>
      <c r="S495" s="77" t="n"/>
      <c r="T495" s="77" t="n"/>
      <c r="U495" s="77" t="n"/>
    </row>
    <row r="496" ht="15.75" customHeight="1" s="360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  <c r="O496" s="77" t="n"/>
      <c r="P496" s="77" t="n"/>
      <c r="Q496" s="77" t="n"/>
      <c r="R496" s="77" t="n"/>
      <c r="S496" s="77" t="n"/>
      <c r="T496" s="77" t="n"/>
      <c r="U496" s="77" t="n"/>
    </row>
    <row r="497" ht="15.75" customHeight="1" s="360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  <c r="P497" s="77" t="n"/>
      <c r="Q497" s="77" t="n"/>
      <c r="R497" s="77" t="n"/>
      <c r="S497" s="77" t="n"/>
      <c r="T497" s="77" t="n"/>
      <c r="U497" s="77" t="n"/>
    </row>
    <row r="498" ht="15.75" customHeight="1" s="360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  <c r="O498" s="77" t="n"/>
      <c r="P498" s="77" t="n"/>
      <c r="Q498" s="77" t="n"/>
      <c r="R498" s="77" t="n"/>
      <c r="S498" s="77" t="n"/>
      <c r="T498" s="77" t="n"/>
      <c r="U498" s="77" t="n"/>
    </row>
    <row r="499" ht="15.75" customHeight="1" s="360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  <c r="P499" s="77" t="n"/>
      <c r="Q499" s="77" t="n"/>
      <c r="R499" s="77" t="n"/>
      <c r="S499" s="77" t="n"/>
      <c r="T499" s="77" t="n"/>
      <c r="U499" s="77" t="n"/>
    </row>
    <row r="500" ht="15.75" customHeight="1" s="360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  <c r="O500" s="77" t="n"/>
      <c r="P500" s="77" t="n"/>
      <c r="Q500" s="77" t="n"/>
      <c r="R500" s="77" t="n"/>
      <c r="S500" s="77" t="n"/>
      <c r="T500" s="77" t="n"/>
      <c r="U500" s="77" t="n"/>
    </row>
    <row r="501" ht="15.75" customHeight="1" s="360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  <c r="P501" s="77" t="n"/>
      <c r="Q501" s="77" t="n"/>
      <c r="R501" s="77" t="n"/>
      <c r="S501" s="77" t="n"/>
      <c r="T501" s="77" t="n"/>
      <c r="U501" s="77" t="n"/>
    </row>
    <row r="502" ht="15.75" customHeight="1" s="360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  <c r="O502" s="77" t="n"/>
      <c r="P502" s="77" t="n"/>
      <c r="Q502" s="77" t="n"/>
      <c r="R502" s="77" t="n"/>
      <c r="S502" s="77" t="n"/>
      <c r="T502" s="77" t="n"/>
      <c r="U502" s="77" t="n"/>
    </row>
    <row r="503" ht="15.75" customHeight="1" s="360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  <c r="P503" s="77" t="n"/>
      <c r="Q503" s="77" t="n"/>
      <c r="R503" s="77" t="n"/>
      <c r="S503" s="77" t="n"/>
      <c r="T503" s="77" t="n"/>
      <c r="U503" s="77" t="n"/>
    </row>
    <row r="504" ht="15.75" customHeight="1" s="360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  <c r="O504" s="77" t="n"/>
      <c r="P504" s="77" t="n"/>
      <c r="Q504" s="77" t="n"/>
      <c r="R504" s="77" t="n"/>
      <c r="S504" s="77" t="n"/>
      <c r="T504" s="77" t="n"/>
      <c r="U504" s="77" t="n"/>
    </row>
    <row r="505" ht="15.75" customHeight="1" s="360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  <c r="P505" s="77" t="n"/>
      <c r="Q505" s="77" t="n"/>
      <c r="R505" s="77" t="n"/>
      <c r="S505" s="77" t="n"/>
      <c r="T505" s="77" t="n"/>
      <c r="U505" s="77" t="n"/>
    </row>
    <row r="506" ht="15.75" customHeight="1" s="360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  <c r="O506" s="77" t="n"/>
      <c r="P506" s="77" t="n"/>
      <c r="Q506" s="77" t="n"/>
      <c r="R506" s="77" t="n"/>
      <c r="S506" s="77" t="n"/>
      <c r="T506" s="77" t="n"/>
      <c r="U506" s="77" t="n"/>
    </row>
    <row r="507" ht="15.75" customHeight="1" s="360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  <c r="P507" s="77" t="n"/>
      <c r="Q507" s="77" t="n"/>
      <c r="R507" s="77" t="n"/>
      <c r="S507" s="77" t="n"/>
      <c r="T507" s="77" t="n"/>
      <c r="U507" s="77" t="n"/>
    </row>
    <row r="508" ht="15.75" customHeight="1" s="360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  <c r="O508" s="77" t="n"/>
      <c r="P508" s="77" t="n"/>
      <c r="Q508" s="77" t="n"/>
      <c r="R508" s="77" t="n"/>
      <c r="S508" s="77" t="n"/>
      <c r="T508" s="77" t="n"/>
      <c r="U508" s="77" t="n"/>
    </row>
    <row r="509" ht="15.75" customHeight="1" s="360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  <c r="P509" s="77" t="n"/>
      <c r="Q509" s="77" t="n"/>
      <c r="R509" s="77" t="n"/>
      <c r="S509" s="77" t="n"/>
      <c r="T509" s="77" t="n"/>
      <c r="U509" s="77" t="n"/>
    </row>
    <row r="510" ht="15.75" customHeight="1" s="360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  <c r="O510" s="77" t="n"/>
      <c r="P510" s="77" t="n"/>
      <c r="Q510" s="77" t="n"/>
      <c r="R510" s="77" t="n"/>
      <c r="S510" s="77" t="n"/>
      <c r="T510" s="77" t="n"/>
      <c r="U510" s="77" t="n"/>
    </row>
    <row r="511" ht="15.75" customHeight="1" s="360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  <c r="P511" s="77" t="n"/>
      <c r="Q511" s="77" t="n"/>
      <c r="R511" s="77" t="n"/>
      <c r="S511" s="77" t="n"/>
      <c r="T511" s="77" t="n"/>
      <c r="U511" s="77" t="n"/>
    </row>
    <row r="512" ht="15.75" customHeight="1" s="360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  <c r="O512" s="77" t="n"/>
      <c r="P512" s="77" t="n"/>
      <c r="Q512" s="77" t="n"/>
      <c r="R512" s="77" t="n"/>
      <c r="S512" s="77" t="n"/>
      <c r="T512" s="77" t="n"/>
      <c r="U512" s="77" t="n"/>
    </row>
    <row r="513" ht="15.75" customHeight="1" s="360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  <c r="P513" s="77" t="n"/>
      <c r="Q513" s="77" t="n"/>
      <c r="R513" s="77" t="n"/>
      <c r="S513" s="77" t="n"/>
      <c r="T513" s="77" t="n"/>
      <c r="U513" s="77" t="n"/>
    </row>
    <row r="514" ht="15.75" customHeight="1" s="360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  <c r="O514" s="77" t="n"/>
      <c r="P514" s="77" t="n"/>
      <c r="Q514" s="77" t="n"/>
      <c r="R514" s="77" t="n"/>
      <c r="S514" s="77" t="n"/>
      <c r="T514" s="77" t="n"/>
      <c r="U514" s="77" t="n"/>
    </row>
    <row r="515" ht="15.75" customHeight="1" s="360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  <c r="P515" s="77" t="n"/>
      <c r="Q515" s="77" t="n"/>
      <c r="R515" s="77" t="n"/>
      <c r="S515" s="77" t="n"/>
      <c r="T515" s="77" t="n"/>
      <c r="U515" s="77" t="n"/>
    </row>
    <row r="516" ht="15.75" customHeight="1" s="360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  <c r="O516" s="77" t="n"/>
      <c r="P516" s="77" t="n"/>
      <c r="Q516" s="77" t="n"/>
      <c r="R516" s="77" t="n"/>
      <c r="S516" s="77" t="n"/>
      <c r="T516" s="77" t="n"/>
      <c r="U516" s="77" t="n"/>
    </row>
    <row r="517" ht="15.75" customHeight="1" s="360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  <c r="P517" s="77" t="n"/>
      <c r="Q517" s="77" t="n"/>
      <c r="R517" s="77" t="n"/>
      <c r="S517" s="77" t="n"/>
      <c r="T517" s="77" t="n"/>
      <c r="U517" s="77" t="n"/>
    </row>
    <row r="518" ht="15.75" customHeight="1" s="360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  <c r="O518" s="77" t="n"/>
      <c r="P518" s="77" t="n"/>
      <c r="Q518" s="77" t="n"/>
      <c r="R518" s="77" t="n"/>
      <c r="S518" s="77" t="n"/>
      <c r="T518" s="77" t="n"/>
      <c r="U518" s="77" t="n"/>
    </row>
    <row r="519" ht="15.75" customHeight="1" s="360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  <c r="P519" s="77" t="n"/>
      <c r="Q519" s="77" t="n"/>
      <c r="R519" s="77" t="n"/>
      <c r="S519" s="77" t="n"/>
      <c r="T519" s="77" t="n"/>
      <c r="U519" s="77" t="n"/>
    </row>
    <row r="520" ht="15.75" customHeight="1" s="360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  <c r="O520" s="77" t="n"/>
      <c r="P520" s="77" t="n"/>
      <c r="Q520" s="77" t="n"/>
      <c r="R520" s="77" t="n"/>
      <c r="S520" s="77" t="n"/>
      <c r="T520" s="77" t="n"/>
      <c r="U520" s="77" t="n"/>
    </row>
    <row r="521" ht="15.75" customHeight="1" s="360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  <c r="P521" s="77" t="n"/>
      <c r="Q521" s="77" t="n"/>
      <c r="R521" s="77" t="n"/>
      <c r="S521" s="77" t="n"/>
      <c r="T521" s="77" t="n"/>
      <c r="U521" s="77" t="n"/>
    </row>
    <row r="522" ht="15.75" customHeight="1" s="360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  <c r="O522" s="77" t="n"/>
      <c r="P522" s="77" t="n"/>
      <c r="Q522" s="77" t="n"/>
      <c r="R522" s="77" t="n"/>
      <c r="S522" s="77" t="n"/>
      <c r="T522" s="77" t="n"/>
      <c r="U522" s="77" t="n"/>
    </row>
    <row r="523" ht="15.75" customHeight="1" s="360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  <c r="P523" s="77" t="n"/>
      <c r="Q523" s="77" t="n"/>
      <c r="R523" s="77" t="n"/>
      <c r="S523" s="77" t="n"/>
      <c r="T523" s="77" t="n"/>
      <c r="U523" s="77" t="n"/>
    </row>
    <row r="524" ht="15.75" customHeight="1" s="360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  <c r="O524" s="77" t="n"/>
      <c r="P524" s="77" t="n"/>
      <c r="Q524" s="77" t="n"/>
      <c r="R524" s="77" t="n"/>
      <c r="S524" s="77" t="n"/>
      <c r="T524" s="77" t="n"/>
      <c r="U524" s="77" t="n"/>
    </row>
    <row r="525" ht="15.75" customHeight="1" s="360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  <c r="P525" s="77" t="n"/>
      <c r="Q525" s="77" t="n"/>
      <c r="R525" s="77" t="n"/>
      <c r="S525" s="77" t="n"/>
      <c r="T525" s="77" t="n"/>
      <c r="U525" s="77" t="n"/>
    </row>
    <row r="526" ht="15.75" customHeight="1" s="360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  <c r="O526" s="77" t="n"/>
      <c r="P526" s="77" t="n"/>
      <c r="Q526" s="77" t="n"/>
      <c r="R526" s="77" t="n"/>
      <c r="S526" s="77" t="n"/>
      <c r="T526" s="77" t="n"/>
      <c r="U526" s="77" t="n"/>
    </row>
    <row r="527" ht="15.75" customHeight="1" s="360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  <c r="P527" s="77" t="n"/>
      <c r="Q527" s="77" t="n"/>
      <c r="R527" s="77" t="n"/>
      <c r="S527" s="77" t="n"/>
      <c r="T527" s="77" t="n"/>
      <c r="U527" s="77" t="n"/>
    </row>
    <row r="528" ht="15.75" customHeight="1" s="360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  <c r="O528" s="77" t="n"/>
      <c r="P528" s="77" t="n"/>
      <c r="Q528" s="77" t="n"/>
      <c r="R528" s="77" t="n"/>
      <c r="S528" s="77" t="n"/>
      <c r="T528" s="77" t="n"/>
      <c r="U528" s="77" t="n"/>
    </row>
    <row r="529" ht="15.75" customHeight="1" s="360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  <c r="P529" s="77" t="n"/>
      <c r="Q529" s="77" t="n"/>
      <c r="R529" s="77" t="n"/>
      <c r="S529" s="77" t="n"/>
      <c r="T529" s="77" t="n"/>
      <c r="U529" s="77" t="n"/>
    </row>
    <row r="530" ht="15.75" customHeight="1" s="360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  <c r="O530" s="77" t="n"/>
      <c r="P530" s="77" t="n"/>
      <c r="Q530" s="77" t="n"/>
      <c r="R530" s="77" t="n"/>
      <c r="S530" s="77" t="n"/>
      <c r="T530" s="77" t="n"/>
      <c r="U530" s="77" t="n"/>
    </row>
    <row r="531" ht="15.75" customHeight="1" s="360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  <c r="P531" s="77" t="n"/>
      <c r="Q531" s="77" t="n"/>
      <c r="R531" s="77" t="n"/>
      <c r="S531" s="77" t="n"/>
      <c r="T531" s="77" t="n"/>
      <c r="U531" s="77" t="n"/>
    </row>
    <row r="532" ht="15.75" customHeight="1" s="360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  <c r="O532" s="77" t="n"/>
      <c r="P532" s="77" t="n"/>
      <c r="Q532" s="77" t="n"/>
      <c r="R532" s="77" t="n"/>
      <c r="S532" s="77" t="n"/>
      <c r="T532" s="77" t="n"/>
      <c r="U532" s="77" t="n"/>
    </row>
    <row r="533" ht="15.75" customHeight="1" s="360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  <c r="P533" s="77" t="n"/>
      <c r="Q533" s="77" t="n"/>
      <c r="R533" s="77" t="n"/>
      <c r="S533" s="77" t="n"/>
      <c r="T533" s="77" t="n"/>
      <c r="U533" s="77" t="n"/>
    </row>
    <row r="534" ht="15.75" customHeight="1" s="360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  <c r="O534" s="77" t="n"/>
      <c r="P534" s="77" t="n"/>
      <c r="Q534" s="77" t="n"/>
      <c r="R534" s="77" t="n"/>
      <c r="S534" s="77" t="n"/>
      <c r="T534" s="77" t="n"/>
      <c r="U534" s="77" t="n"/>
    </row>
    <row r="535" ht="15.75" customHeight="1" s="360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  <c r="P535" s="77" t="n"/>
      <c r="Q535" s="77" t="n"/>
      <c r="R535" s="77" t="n"/>
      <c r="S535" s="77" t="n"/>
      <c r="T535" s="77" t="n"/>
      <c r="U535" s="77" t="n"/>
    </row>
    <row r="536" ht="15.75" customHeight="1" s="360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  <c r="O536" s="77" t="n"/>
      <c r="P536" s="77" t="n"/>
      <c r="Q536" s="77" t="n"/>
      <c r="R536" s="77" t="n"/>
      <c r="S536" s="77" t="n"/>
      <c r="T536" s="77" t="n"/>
      <c r="U536" s="77" t="n"/>
    </row>
    <row r="537" ht="15.75" customHeight="1" s="360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  <c r="P537" s="77" t="n"/>
      <c r="Q537" s="77" t="n"/>
      <c r="R537" s="77" t="n"/>
      <c r="S537" s="77" t="n"/>
      <c r="T537" s="77" t="n"/>
      <c r="U537" s="77" t="n"/>
    </row>
    <row r="538" ht="15.75" customHeight="1" s="360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  <c r="O538" s="77" t="n"/>
      <c r="P538" s="77" t="n"/>
      <c r="Q538" s="77" t="n"/>
      <c r="R538" s="77" t="n"/>
      <c r="S538" s="77" t="n"/>
      <c r="T538" s="77" t="n"/>
      <c r="U538" s="77" t="n"/>
    </row>
    <row r="539" ht="15.75" customHeight="1" s="360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  <c r="P539" s="77" t="n"/>
      <c r="Q539" s="77" t="n"/>
      <c r="R539" s="77" t="n"/>
      <c r="S539" s="77" t="n"/>
      <c r="T539" s="77" t="n"/>
      <c r="U539" s="77" t="n"/>
    </row>
    <row r="540" ht="15.75" customHeight="1" s="360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  <c r="O540" s="77" t="n"/>
      <c r="P540" s="77" t="n"/>
      <c r="Q540" s="77" t="n"/>
      <c r="R540" s="77" t="n"/>
      <c r="S540" s="77" t="n"/>
      <c r="T540" s="77" t="n"/>
      <c r="U540" s="77" t="n"/>
    </row>
    <row r="541" ht="15.75" customHeight="1" s="360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  <c r="P541" s="77" t="n"/>
      <c r="Q541" s="77" t="n"/>
      <c r="R541" s="77" t="n"/>
      <c r="S541" s="77" t="n"/>
      <c r="T541" s="77" t="n"/>
      <c r="U541" s="77" t="n"/>
    </row>
    <row r="542" ht="15.75" customHeight="1" s="360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  <c r="O542" s="77" t="n"/>
      <c r="P542" s="77" t="n"/>
      <c r="Q542" s="77" t="n"/>
      <c r="R542" s="77" t="n"/>
      <c r="S542" s="77" t="n"/>
      <c r="T542" s="77" t="n"/>
      <c r="U542" s="77" t="n"/>
    </row>
    <row r="543" ht="15.75" customHeight="1" s="360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  <c r="P543" s="77" t="n"/>
      <c r="Q543" s="77" t="n"/>
      <c r="R543" s="77" t="n"/>
      <c r="S543" s="77" t="n"/>
      <c r="T543" s="77" t="n"/>
      <c r="U543" s="77" t="n"/>
    </row>
    <row r="544" ht="15.75" customHeight="1" s="360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  <c r="O544" s="77" t="n"/>
      <c r="P544" s="77" t="n"/>
      <c r="Q544" s="77" t="n"/>
      <c r="R544" s="77" t="n"/>
      <c r="S544" s="77" t="n"/>
      <c r="T544" s="77" t="n"/>
      <c r="U544" s="77" t="n"/>
    </row>
    <row r="545" ht="15.75" customHeight="1" s="360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  <c r="P545" s="77" t="n"/>
      <c r="Q545" s="77" t="n"/>
      <c r="R545" s="77" t="n"/>
      <c r="S545" s="77" t="n"/>
      <c r="T545" s="77" t="n"/>
      <c r="U545" s="77" t="n"/>
    </row>
    <row r="546" ht="15.75" customHeight="1" s="360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  <c r="O546" s="77" t="n"/>
      <c r="P546" s="77" t="n"/>
      <c r="Q546" s="77" t="n"/>
      <c r="R546" s="77" t="n"/>
      <c r="S546" s="77" t="n"/>
      <c r="T546" s="77" t="n"/>
      <c r="U546" s="77" t="n"/>
    </row>
    <row r="547" ht="15.75" customHeight="1" s="360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  <c r="P547" s="77" t="n"/>
      <c r="Q547" s="77" t="n"/>
      <c r="R547" s="77" t="n"/>
      <c r="S547" s="77" t="n"/>
      <c r="T547" s="77" t="n"/>
      <c r="U547" s="77" t="n"/>
    </row>
    <row r="548" ht="15.75" customHeight="1" s="360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  <c r="O548" s="77" t="n"/>
      <c r="P548" s="77" t="n"/>
      <c r="Q548" s="77" t="n"/>
      <c r="R548" s="77" t="n"/>
      <c r="S548" s="77" t="n"/>
      <c r="T548" s="77" t="n"/>
      <c r="U548" s="77" t="n"/>
    </row>
    <row r="549" ht="15.75" customHeight="1" s="360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  <c r="P549" s="77" t="n"/>
      <c r="Q549" s="77" t="n"/>
      <c r="R549" s="77" t="n"/>
      <c r="S549" s="77" t="n"/>
      <c r="T549" s="77" t="n"/>
      <c r="U549" s="77" t="n"/>
    </row>
    <row r="550" ht="15.75" customHeight="1" s="360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  <c r="O550" s="77" t="n"/>
      <c r="P550" s="77" t="n"/>
      <c r="Q550" s="77" t="n"/>
      <c r="R550" s="77" t="n"/>
      <c r="S550" s="77" t="n"/>
      <c r="T550" s="77" t="n"/>
      <c r="U550" s="77" t="n"/>
    </row>
    <row r="551" ht="15.75" customHeight="1" s="360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  <c r="P551" s="77" t="n"/>
      <c r="Q551" s="77" t="n"/>
      <c r="R551" s="77" t="n"/>
      <c r="S551" s="77" t="n"/>
      <c r="T551" s="77" t="n"/>
      <c r="U551" s="77" t="n"/>
    </row>
    <row r="552" ht="15.75" customHeight="1" s="360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  <c r="O552" s="77" t="n"/>
      <c r="P552" s="77" t="n"/>
      <c r="Q552" s="77" t="n"/>
      <c r="R552" s="77" t="n"/>
      <c r="S552" s="77" t="n"/>
      <c r="T552" s="77" t="n"/>
      <c r="U552" s="77" t="n"/>
    </row>
    <row r="553" ht="15.75" customHeight="1" s="360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  <c r="P553" s="77" t="n"/>
      <c r="Q553" s="77" t="n"/>
      <c r="R553" s="77" t="n"/>
      <c r="S553" s="77" t="n"/>
      <c r="T553" s="77" t="n"/>
      <c r="U553" s="77" t="n"/>
    </row>
    <row r="554" ht="15.75" customHeight="1" s="360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  <c r="O554" s="77" t="n"/>
      <c r="P554" s="77" t="n"/>
      <c r="Q554" s="77" t="n"/>
      <c r="R554" s="77" t="n"/>
      <c r="S554" s="77" t="n"/>
      <c r="T554" s="77" t="n"/>
      <c r="U554" s="77" t="n"/>
    </row>
    <row r="555" ht="15.75" customHeight="1" s="360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  <c r="P555" s="77" t="n"/>
      <c r="Q555" s="77" t="n"/>
      <c r="R555" s="77" t="n"/>
      <c r="S555" s="77" t="n"/>
      <c r="T555" s="77" t="n"/>
      <c r="U555" s="77" t="n"/>
    </row>
    <row r="556" ht="15.75" customHeight="1" s="360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  <c r="O556" s="77" t="n"/>
      <c r="P556" s="77" t="n"/>
      <c r="Q556" s="77" t="n"/>
      <c r="R556" s="77" t="n"/>
      <c r="S556" s="77" t="n"/>
      <c r="T556" s="77" t="n"/>
      <c r="U556" s="77" t="n"/>
    </row>
    <row r="557" ht="15.75" customHeight="1" s="360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  <c r="P557" s="77" t="n"/>
      <c r="Q557" s="77" t="n"/>
      <c r="R557" s="77" t="n"/>
      <c r="S557" s="77" t="n"/>
      <c r="T557" s="77" t="n"/>
      <c r="U557" s="77" t="n"/>
    </row>
    <row r="558" ht="15.75" customHeight="1" s="360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  <c r="O558" s="77" t="n"/>
      <c r="P558" s="77" t="n"/>
      <c r="Q558" s="77" t="n"/>
      <c r="R558" s="77" t="n"/>
      <c r="S558" s="77" t="n"/>
      <c r="T558" s="77" t="n"/>
      <c r="U558" s="77" t="n"/>
    </row>
    <row r="559" ht="15.75" customHeight="1" s="360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  <c r="P559" s="77" t="n"/>
      <c r="Q559" s="77" t="n"/>
      <c r="R559" s="77" t="n"/>
      <c r="S559" s="77" t="n"/>
      <c r="T559" s="77" t="n"/>
      <c r="U559" s="77" t="n"/>
    </row>
    <row r="560" ht="15.75" customHeight="1" s="360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  <c r="O560" s="77" t="n"/>
      <c r="P560" s="77" t="n"/>
      <c r="Q560" s="77" t="n"/>
      <c r="R560" s="77" t="n"/>
      <c r="S560" s="77" t="n"/>
      <c r="T560" s="77" t="n"/>
      <c r="U560" s="77" t="n"/>
    </row>
    <row r="561" ht="15.75" customHeight="1" s="360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  <c r="P561" s="77" t="n"/>
      <c r="Q561" s="77" t="n"/>
      <c r="R561" s="77" t="n"/>
      <c r="S561" s="77" t="n"/>
      <c r="T561" s="77" t="n"/>
      <c r="U561" s="77" t="n"/>
    </row>
    <row r="562" ht="15.75" customHeight="1" s="360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  <c r="O562" s="77" t="n"/>
      <c r="P562" s="77" t="n"/>
      <c r="Q562" s="77" t="n"/>
      <c r="R562" s="77" t="n"/>
      <c r="S562" s="77" t="n"/>
      <c r="T562" s="77" t="n"/>
      <c r="U562" s="77" t="n"/>
    </row>
    <row r="563" ht="15.75" customHeight="1" s="360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  <c r="P563" s="77" t="n"/>
      <c r="Q563" s="77" t="n"/>
      <c r="R563" s="77" t="n"/>
      <c r="S563" s="77" t="n"/>
      <c r="T563" s="77" t="n"/>
      <c r="U563" s="77" t="n"/>
    </row>
    <row r="564" ht="15.75" customHeight="1" s="360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  <c r="O564" s="77" t="n"/>
      <c r="P564" s="77" t="n"/>
      <c r="Q564" s="77" t="n"/>
      <c r="R564" s="77" t="n"/>
      <c r="S564" s="77" t="n"/>
      <c r="T564" s="77" t="n"/>
      <c r="U564" s="77" t="n"/>
    </row>
    <row r="565" ht="15.75" customHeight="1" s="360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  <c r="P565" s="77" t="n"/>
      <c r="Q565" s="77" t="n"/>
      <c r="R565" s="77" t="n"/>
      <c r="S565" s="77" t="n"/>
      <c r="T565" s="77" t="n"/>
      <c r="U565" s="77" t="n"/>
    </row>
    <row r="566" ht="15.75" customHeight="1" s="360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  <c r="O566" s="77" t="n"/>
      <c r="P566" s="77" t="n"/>
      <c r="Q566" s="77" t="n"/>
      <c r="R566" s="77" t="n"/>
      <c r="S566" s="77" t="n"/>
      <c r="T566" s="77" t="n"/>
      <c r="U566" s="77" t="n"/>
    </row>
    <row r="567" ht="15.75" customHeight="1" s="360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  <c r="P567" s="77" t="n"/>
      <c r="Q567" s="77" t="n"/>
      <c r="R567" s="77" t="n"/>
      <c r="S567" s="77" t="n"/>
      <c r="T567" s="77" t="n"/>
      <c r="U567" s="77" t="n"/>
    </row>
    <row r="568" ht="15.75" customHeight="1" s="360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  <c r="O568" s="77" t="n"/>
      <c r="P568" s="77" t="n"/>
      <c r="Q568" s="77" t="n"/>
      <c r="R568" s="77" t="n"/>
      <c r="S568" s="77" t="n"/>
      <c r="T568" s="77" t="n"/>
      <c r="U568" s="77" t="n"/>
    </row>
    <row r="569" ht="15.75" customHeight="1" s="360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  <c r="P569" s="77" t="n"/>
      <c r="Q569" s="77" t="n"/>
      <c r="R569" s="77" t="n"/>
      <c r="S569" s="77" t="n"/>
      <c r="T569" s="77" t="n"/>
      <c r="U569" s="77" t="n"/>
    </row>
    <row r="570" ht="15.75" customHeight="1" s="360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  <c r="O570" s="77" t="n"/>
      <c r="P570" s="77" t="n"/>
      <c r="Q570" s="77" t="n"/>
      <c r="R570" s="77" t="n"/>
      <c r="S570" s="77" t="n"/>
      <c r="T570" s="77" t="n"/>
      <c r="U570" s="77" t="n"/>
    </row>
    <row r="571" ht="15.75" customHeight="1" s="360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  <c r="P571" s="77" t="n"/>
      <c r="Q571" s="77" t="n"/>
      <c r="R571" s="77" t="n"/>
      <c r="S571" s="77" t="n"/>
      <c r="T571" s="77" t="n"/>
      <c r="U571" s="77" t="n"/>
    </row>
    <row r="572" ht="15.75" customHeight="1" s="360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  <c r="O572" s="77" t="n"/>
      <c r="P572" s="77" t="n"/>
      <c r="Q572" s="77" t="n"/>
      <c r="R572" s="77" t="n"/>
      <c r="S572" s="77" t="n"/>
      <c r="T572" s="77" t="n"/>
      <c r="U572" s="77" t="n"/>
    </row>
    <row r="573" ht="15.75" customHeight="1" s="360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  <c r="P573" s="77" t="n"/>
      <c r="Q573" s="77" t="n"/>
      <c r="R573" s="77" t="n"/>
      <c r="S573" s="77" t="n"/>
      <c r="T573" s="77" t="n"/>
      <c r="U573" s="77" t="n"/>
    </row>
    <row r="574" ht="15.75" customHeight="1" s="360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  <c r="O574" s="77" t="n"/>
      <c r="P574" s="77" t="n"/>
      <c r="Q574" s="77" t="n"/>
      <c r="R574" s="77" t="n"/>
      <c r="S574" s="77" t="n"/>
      <c r="T574" s="77" t="n"/>
      <c r="U574" s="77" t="n"/>
    </row>
    <row r="575" ht="15.75" customHeight="1" s="360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  <c r="P575" s="77" t="n"/>
      <c r="Q575" s="77" t="n"/>
      <c r="R575" s="77" t="n"/>
      <c r="S575" s="77" t="n"/>
      <c r="T575" s="77" t="n"/>
      <c r="U575" s="77" t="n"/>
    </row>
    <row r="576" ht="15.75" customHeight="1" s="360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  <c r="O576" s="77" t="n"/>
      <c r="P576" s="77" t="n"/>
      <c r="Q576" s="77" t="n"/>
      <c r="R576" s="77" t="n"/>
      <c r="S576" s="77" t="n"/>
      <c r="T576" s="77" t="n"/>
      <c r="U576" s="77" t="n"/>
    </row>
    <row r="577" ht="15.75" customHeight="1" s="360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  <c r="P577" s="77" t="n"/>
      <c r="Q577" s="77" t="n"/>
      <c r="R577" s="77" t="n"/>
      <c r="S577" s="77" t="n"/>
      <c r="T577" s="77" t="n"/>
      <c r="U577" s="77" t="n"/>
    </row>
    <row r="578" ht="15.75" customHeight="1" s="360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  <c r="O578" s="77" t="n"/>
      <c r="P578" s="77" t="n"/>
      <c r="Q578" s="77" t="n"/>
      <c r="R578" s="77" t="n"/>
      <c r="S578" s="77" t="n"/>
      <c r="T578" s="77" t="n"/>
      <c r="U578" s="77" t="n"/>
    </row>
    <row r="579" ht="15.75" customHeight="1" s="360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  <c r="P579" s="77" t="n"/>
      <c r="Q579" s="77" t="n"/>
      <c r="R579" s="77" t="n"/>
      <c r="S579" s="77" t="n"/>
      <c r="T579" s="77" t="n"/>
      <c r="U579" s="77" t="n"/>
    </row>
    <row r="580" ht="15.75" customHeight="1" s="360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  <c r="O580" s="77" t="n"/>
      <c r="P580" s="77" t="n"/>
      <c r="Q580" s="77" t="n"/>
      <c r="R580" s="77" t="n"/>
      <c r="S580" s="77" t="n"/>
      <c r="T580" s="77" t="n"/>
      <c r="U580" s="77" t="n"/>
    </row>
    <row r="581" ht="15.75" customHeight="1" s="360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  <c r="P581" s="77" t="n"/>
      <c r="Q581" s="77" t="n"/>
      <c r="R581" s="77" t="n"/>
      <c r="S581" s="77" t="n"/>
      <c r="T581" s="77" t="n"/>
      <c r="U581" s="77" t="n"/>
    </row>
    <row r="582" ht="15.75" customHeight="1" s="360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  <c r="O582" s="77" t="n"/>
      <c r="P582" s="77" t="n"/>
      <c r="Q582" s="77" t="n"/>
      <c r="R582" s="77" t="n"/>
      <c r="S582" s="77" t="n"/>
      <c r="T582" s="77" t="n"/>
      <c r="U582" s="77" t="n"/>
    </row>
    <row r="583" ht="15.75" customHeight="1" s="360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  <c r="P583" s="77" t="n"/>
      <c r="Q583" s="77" t="n"/>
      <c r="R583" s="77" t="n"/>
      <c r="S583" s="77" t="n"/>
      <c r="T583" s="77" t="n"/>
      <c r="U583" s="77" t="n"/>
    </row>
    <row r="584" ht="15.75" customHeight="1" s="360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  <c r="O584" s="77" t="n"/>
      <c r="P584" s="77" t="n"/>
      <c r="Q584" s="77" t="n"/>
      <c r="R584" s="77" t="n"/>
      <c r="S584" s="77" t="n"/>
      <c r="T584" s="77" t="n"/>
      <c r="U584" s="77" t="n"/>
    </row>
    <row r="585" ht="15.75" customHeight="1" s="360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  <c r="P585" s="77" t="n"/>
      <c r="Q585" s="77" t="n"/>
      <c r="R585" s="77" t="n"/>
      <c r="S585" s="77" t="n"/>
      <c r="T585" s="77" t="n"/>
      <c r="U585" s="77" t="n"/>
    </row>
    <row r="586" ht="15.75" customHeight="1" s="360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  <c r="O586" s="77" t="n"/>
      <c r="P586" s="77" t="n"/>
      <c r="Q586" s="77" t="n"/>
      <c r="R586" s="77" t="n"/>
      <c r="S586" s="77" t="n"/>
      <c r="T586" s="77" t="n"/>
      <c r="U586" s="77" t="n"/>
    </row>
    <row r="587" ht="15.75" customHeight="1" s="360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  <c r="P587" s="77" t="n"/>
      <c r="Q587" s="77" t="n"/>
      <c r="R587" s="77" t="n"/>
      <c r="S587" s="77" t="n"/>
      <c r="T587" s="77" t="n"/>
      <c r="U587" s="77" t="n"/>
    </row>
    <row r="588" ht="15.75" customHeight="1" s="360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  <c r="O588" s="77" t="n"/>
      <c r="P588" s="77" t="n"/>
      <c r="Q588" s="77" t="n"/>
      <c r="R588" s="77" t="n"/>
      <c r="S588" s="77" t="n"/>
      <c r="T588" s="77" t="n"/>
      <c r="U588" s="77" t="n"/>
    </row>
    <row r="589" ht="15.75" customHeight="1" s="360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  <c r="P589" s="77" t="n"/>
      <c r="Q589" s="77" t="n"/>
      <c r="R589" s="77" t="n"/>
      <c r="S589" s="77" t="n"/>
      <c r="T589" s="77" t="n"/>
      <c r="U589" s="77" t="n"/>
    </row>
    <row r="590" ht="15.75" customHeight="1" s="360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  <c r="O590" s="77" t="n"/>
      <c r="P590" s="77" t="n"/>
      <c r="Q590" s="77" t="n"/>
      <c r="R590" s="77" t="n"/>
      <c r="S590" s="77" t="n"/>
      <c r="T590" s="77" t="n"/>
      <c r="U590" s="77" t="n"/>
    </row>
    <row r="591" ht="15.75" customHeight="1" s="360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  <c r="P591" s="77" t="n"/>
      <c r="Q591" s="77" t="n"/>
      <c r="R591" s="77" t="n"/>
      <c r="S591" s="77" t="n"/>
      <c r="T591" s="77" t="n"/>
      <c r="U591" s="77" t="n"/>
    </row>
    <row r="592" ht="15.75" customHeight="1" s="360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  <c r="O592" s="77" t="n"/>
      <c r="P592" s="77" t="n"/>
      <c r="Q592" s="77" t="n"/>
      <c r="R592" s="77" t="n"/>
      <c r="S592" s="77" t="n"/>
      <c r="T592" s="77" t="n"/>
      <c r="U592" s="77" t="n"/>
    </row>
    <row r="593" ht="15.75" customHeight="1" s="360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  <c r="P593" s="77" t="n"/>
      <c r="Q593" s="77" t="n"/>
      <c r="R593" s="77" t="n"/>
      <c r="S593" s="77" t="n"/>
      <c r="T593" s="77" t="n"/>
      <c r="U593" s="77" t="n"/>
    </row>
    <row r="594" ht="15.75" customHeight="1" s="360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  <c r="O594" s="77" t="n"/>
      <c r="P594" s="77" t="n"/>
      <c r="Q594" s="77" t="n"/>
      <c r="R594" s="77" t="n"/>
      <c r="S594" s="77" t="n"/>
      <c r="T594" s="77" t="n"/>
      <c r="U594" s="77" t="n"/>
    </row>
    <row r="595" ht="15.75" customHeight="1" s="360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  <c r="P595" s="77" t="n"/>
      <c r="Q595" s="77" t="n"/>
      <c r="R595" s="77" t="n"/>
      <c r="S595" s="77" t="n"/>
      <c r="T595" s="77" t="n"/>
      <c r="U595" s="77" t="n"/>
    </row>
    <row r="596" ht="15.75" customHeight="1" s="360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  <c r="O596" s="77" t="n"/>
      <c r="P596" s="77" t="n"/>
      <c r="Q596" s="77" t="n"/>
      <c r="R596" s="77" t="n"/>
      <c r="S596" s="77" t="n"/>
      <c r="T596" s="77" t="n"/>
      <c r="U596" s="77" t="n"/>
    </row>
    <row r="597" ht="15.75" customHeight="1" s="360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  <c r="P597" s="77" t="n"/>
      <c r="Q597" s="77" t="n"/>
      <c r="R597" s="77" t="n"/>
      <c r="S597" s="77" t="n"/>
      <c r="T597" s="77" t="n"/>
      <c r="U597" s="77" t="n"/>
    </row>
    <row r="598" ht="15.75" customHeight="1" s="360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  <c r="O598" s="77" t="n"/>
      <c r="P598" s="77" t="n"/>
      <c r="Q598" s="77" t="n"/>
      <c r="R598" s="77" t="n"/>
      <c r="S598" s="77" t="n"/>
      <c r="T598" s="77" t="n"/>
      <c r="U598" s="77" t="n"/>
    </row>
    <row r="599" ht="15.75" customHeight="1" s="360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  <c r="P599" s="77" t="n"/>
      <c r="Q599" s="77" t="n"/>
      <c r="R599" s="77" t="n"/>
      <c r="S599" s="77" t="n"/>
      <c r="T599" s="77" t="n"/>
      <c r="U599" s="77" t="n"/>
    </row>
    <row r="600" ht="15.75" customHeight="1" s="360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  <c r="O600" s="77" t="n"/>
      <c r="P600" s="77" t="n"/>
      <c r="Q600" s="77" t="n"/>
      <c r="R600" s="77" t="n"/>
      <c r="S600" s="77" t="n"/>
      <c r="T600" s="77" t="n"/>
      <c r="U600" s="77" t="n"/>
    </row>
    <row r="601" ht="15.75" customHeight="1" s="360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  <c r="P601" s="77" t="n"/>
      <c r="Q601" s="77" t="n"/>
      <c r="R601" s="77" t="n"/>
      <c r="S601" s="77" t="n"/>
      <c r="T601" s="77" t="n"/>
      <c r="U601" s="77" t="n"/>
    </row>
    <row r="602" ht="15.75" customHeight="1" s="360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  <c r="O602" s="77" t="n"/>
      <c r="P602" s="77" t="n"/>
      <c r="Q602" s="77" t="n"/>
      <c r="R602" s="77" t="n"/>
      <c r="S602" s="77" t="n"/>
      <c r="T602" s="77" t="n"/>
      <c r="U602" s="77" t="n"/>
    </row>
    <row r="603" ht="15.75" customHeight="1" s="360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  <c r="P603" s="77" t="n"/>
      <c r="Q603" s="77" t="n"/>
      <c r="R603" s="77" t="n"/>
      <c r="S603" s="77" t="n"/>
      <c r="T603" s="77" t="n"/>
      <c r="U603" s="77" t="n"/>
    </row>
    <row r="604" ht="15.75" customHeight="1" s="360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  <c r="O604" s="77" t="n"/>
      <c r="P604" s="77" t="n"/>
      <c r="Q604" s="77" t="n"/>
      <c r="R604" s="77" t="n"/>
      <c r="S604" s="77" t="n"/>
      <c r="T604" s="77" t="n"/>
      <c r="U604" s="77" t="n"/>
    </row>
    <row r="605" ht="15.75" customHeight="1" s="360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  <c r="P605" s="77" t="n"/>
      <c r="Q605" s="77" t="n"/>
      <c r="R605" s="77" t="n"/>
      <c r="S605" s="77" t="n"/>
      <c r="T605" s="77" t="n"/>
      <c r="U605" s="77" t="n"/>
    </row>
    <row r="606" ht="15.75" customHeight="1" s="360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  <c r="O606" s="77" t="n"/>
      <c r="P606" s="77" t="n"/>
      <c r="Q606" s="77" t="n"/>
      <c r="R606" s="77" t="n"/>
      <c r="S606" s="77" t="n"/>
      <c r="T606" s="77" t="n"/>
      <c r="U606" s="77" t="n"/>
    </row>
    <row r="607" ht="15.75" customHeight="1" s="360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  <c r="P607" s="77" t="n"/>
      <c r="Q607" s="77" t="n"/>
      <c r="R607" s="77" t="n"/>
      <c r="S607" s="77" t="n"/>
      <c r="T607" s="77" t="n"/>
      <c r="U607" s="77" t="n"/>
    </row>
    <row r="608" ht="15.75" customHeight="1" s="360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  <c r="O608" s="77" t="n"/>
      <c r="P608" s="77" t="n"/>
      <c r="Q608" s="77" t="n"/>
      <c r="R608" s="77" t="n"/>
      <c r="S608" s="77" t="n"/>
      <c r="T608" s="77" t="n"/>
      <c r="U608" s="77" t="n"/>
    </row>
    <row r="609" ht="15.75" customHeight="1" s="360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  <c r="P609" s="77" t="n"/>
      <c r="Q609" s="77" t="n"/>
      <c r="R609" s="77" t="n"/>
      <c r="S609" s="77" t="n"/>
      <c r="T609" s="77" t="n"/>
      <c r="U609" s="77" t="n"/>
    </row>
    <row r="610" ht="15.75" customHeight="1" s="360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  <c r="O610" s="77" t="n"/>
      <c r="P610" s="77" t="n"/>
      <c r="Q610" s="77" t="n"/>
      <c r="R610" s="77" t="n"/>
      <c r="S610" s="77" t="n"/>
      <c r="T610" s="77" t="n"/>
      <c r="U610" s="77" t="n"/>
    </row>
    <row r="611" ht="15.75" customHeight="1" s="360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  <c r="P611" s="77" t="n"/>
      <c r="Q611" s="77" t="n"/>
      <c r="R611" s="77" t="n"/>
      <c r="S611" s="77" t="n"/>
      <c r="T611" s="77" t="n"/>
      <c r="U611" s="77" t="n"/>
    </row>
    <row r="612" ht="15.75" customHeight="1" s="360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  <c r="O612" s="77" t="n"/>
      <c r="P612" s="77" t="n"/>
      <c r="Q612" s="77" t="n"/>
      <c r="R612" s="77" t="n"/>
      <c r="S612" s="77" t="n"/>
      <c r="T612" s="77" t="n"/>
      <c r="U612" s="77" t="n"/>
    </row>
    <row r="613" ht="15.75" customHeight="1" s="360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  <c r="P613" s="77" t="n"/>
      <c r="Q613" s="77" t="n"/>
      <c r="R613" s="77" t="n"/>
      <c r="S613" s="77" t="n"/>
      <c r="T613" s="77" t="n"/>
      <c r="U613" s="77" t="n"/>
    </row>
    <row r="614" ht="15.75" customHeight="1" s="360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  <c r="O614" s="77" t="n"/>
      <c r="P614" s="77" t="n"/>
      <c r="Q614" s="77" t="n"/>
      <c r="R614" s="77" t="n"/>
      <c r="S614" s="77" t="n"/>
      <c r="T614" s="77" t="n"/>
      <c r="U614" s="77" t="n"/>
    </row>
    <row r="615" ht="15.75" customHeight="1" s="360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  <c r="P615" s="77" t="n"/>
      <c r="Q615" s="77" t="n"/>
      <c r="R615" s="77" t="n"/>
      <c r="S615" s="77" t="n"/>
      <c r="T615" s="77" t="n"/>
      <c r="U615" s="77" t="n"/>
    </row>
    <row r="616" ht="15.75" customHeight="1" s="360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  <c r="O616" s="77" t="n"/>
      <c r="P616" s="77" t="n"/>
      <c r="Q616" s="77" t="n"/>
      <c r="R616" s="77" t="n"/>
      <c r="S616" s="77" t="n"/>
      <c r="T616" s="77" t="n"/>
      <c r="U616" s="77" t="n"/>
    </row>
    <row r="617" ht="15.75" customHeight="1" s="360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  <c r="P617" s="77" t="n"/>
      <c r="Q617" s="77" t="n"/>
      <c r="R617" s="77" t="n"/>
      <c r="S617" s="77" t="n"/>
      <c r="T617" s="77" t="n"/>
      <c r="U617" s="77" t="n"/>
    </row>
    <row r="618" ht="15.75" customHeight="1" s="360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  <c r="O618" s="77" t="n"/>
      <c r="P618" s="77" t="n"/>
      <c r="Q618" s="77" t="n"/>
      <c r="R618" s="77" t="n"/>
      <c r="S618" s="77" t="n"/>
      <c r="T618" s="77" t="n"/>
      <c r="U618" s="77" t="n"/>
    </row>
    <row r="619" ht="15.75" customHeight="1" s="360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  <c r="P619" s="77" t="n"/>
      <c r="Q619" s="77" t="n"/>
      <c r="R619" s="77" t="n"/>
      <c r="S619" s="77" t="n"/>
      <c r="T619" s="77" t="n"/>
      <c r="U619" s="77" t="n"/>
    </row>
    <row r="620" ht="15.75" customHeight="1" s="360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  <c r="O620" s="77" t="n"/>
      <c r="P620" s="77" t="n"/>
      <c r="Q620" s="77" t="n"/>
      <c r="R620" s="77" t="n"/>
      <c r="S620" s="77" t="n"/>
      <c r="T620" s="77" t="n"/>
      <c r="U620" s="77" t="n"/>
    </row>
    <row r="621" ht="15.75" customHeight="1" s="360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  <c r="P621" s="77" t="n"/>
      <c r="Q621" s="77" t="n"/>
      <c r="R621" s="77" t="n"/>
      <c r="S621" s="77" t="n"/>
      <c r="T621" s="77" t="n"/>
      <c r="U621" s="77" t="n"/>
    </row>
    <row r="622" ht="15.75" customHeight="1" s="360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  <c r="O622" s="77" t="n"/>
      <c r="P622" s="77" t="n"/>
      <c r="Q622" s="77" t="n"/>
      <c r="R622" s="77" t="n"/>
      <c r="S622" s="77" t="n"/>
      <c r="T622" s="77" t="n"/>
      <c r="U622" s="77" t="n"/>
    </row>
    <row r="623" ht="15.75" customHeight="1" s="360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  <c r="P623" s="77" t="n"/>
      <c r="Q623" s="77" t="n"/>
      <c r="R623" s="77" t="n"/>
      <c r="S623" s="77" t="n"/>
      <c r="T623" s="77" t="n"/>
      <c r="U623" s="77" t="n"/>
    </row>
    <row r="624" ht="15.75" customHeight="1" s="360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  <c r="O624" s="77" t="n"/>
      <c r="P624" s="77" t="n"/>
      <c r="Q624" s="77" t="n"/>
      <c r="R624" s="77" t="n"/>
      <c r="S624" s="77" t="n"/>
      <c r="T624" s="77" t="n"/>
      <c r="U624" s="77" t="n"/>
    </row>
    <row r="625" ht="15.75" customHeight="1" s="360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  <c r="P625" s="77" t="n"/>
      <c r="Q625" s="77" t="n"/>
      <c r="R625" s="77" t="n"/>
      <c r="S625" s="77" t="n"/>
      <c r="T625" s="77" t="n"/>
      <c r="U625" s="77" t="n"/>
    </row>
    <row r="626" ht="15.75" customHeight="1" s="360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  <c r="O626" s="77" t="n"/>
      <c r="P626" s="77" t="n"/>
      <c r="Q626" s="77" t="n"/>
      <c r="R626" s="77" t="n"/>
      <c r="S626" s="77" t="n"/>
      <c r="T626" s="77" t="n"/>
      <c r="U626" s="77" t="n"/>
    </row>
    <row r="627" ht="15.75" customHeight="1" s="360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  <c r="P627" s="77" t="n"/>
      <c r="Q627" s="77" t="n"/>
      <c r="R627" s="77" t="n"/>
      <c r="S627" s="77" t="n"/>
      <c r="T627" s="77" t="n"/>
      <c r="U627" s="77" t="n"/>
    </row>
    <row r="628" ht="15.75" customHeight="1" s="360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  <c r="O628" s="77" t="n"/>
      <c r="P628" s="77" t="n"/>
      <c r="Q628" s="77" t="n"/>
      <c r="R628" s="77" t="n"/>
      <c r="S628" s="77" t="n"/>
      <c r="T628" s="77" t="n"/>
      <c r="U628" s="77" t="n"/>
    </row>
    <row r="629" ht="15.75" customHeight="1" s="360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  <c r="P629" s="77" t="n"/>
      <c r="Q629" s="77" t="n"/>
      <c r="R629" s="77" t="n"/>
      <c r="S629" s="77" t="n"/>
      <c r="T629" s="77" t="n"/>
      <c r="U629" s="77" t="n"/>
    </row>
    <row r="630" ht="15.75" customHeight="1" s="360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  <c r="O630" s="77" t="n"/>
      <c r="P630" s="77" t="n"/>
      <c r="Q630" s="77" t="n"/>
      <c r="R630" s="77" t="n"/>
      <c r="S630" s="77" t="n"/>
      <c r="T630" s="77" t="n"/>
      <c r="U630" s="77" t="n"/>
    </row>
    <row r="631" ht="15.75" customHeight="1" s="360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  <c r="P631" s="77" t="n"/>
      <c r="Q631" s="77" t="n"/>
      <c r="R631" s="77" t="n"/>
      <c r="S631" s="77" t="n"/>
      <c r="T631" s="77" t="n"/>
      <c r="U631" s="77" t="n"/>
    </row>
    <row r="632" ht="15.75" customHeight="1" s="360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  <c r="O632" s="77" t="n"/>
      <c r="P632" s="77" t="n"/>
      <c r="Q632" s="77" t="n"/>
      <c r="R632" s="77" t="n"/>
      <c r="S632" s="77" t="n"/>
      <c r="T632" s="77" t="n"/>
      <c r="U632" s="77" t="n"/>
    </row>
    <row r="633" ht="15.75" customHeight="1" s="360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  <c r="P633" s="77" t="n"/>
      <c r="Q633" s="77" t="n"/>
      <c r="R633" s="77" t="n"/>
      <c r="S633" s="77" t="n"/>
      <c r="T633" s="77" t="n"/>
      <c r="U633" s="77" t="n"/>
    </row>
    <row r="634" ht="15.75" customHeight="1" s="360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  <c r="O634" s="77" t="n"/>
      <c r="P634" s="77" t="n"/>
      <c r="Q634" s="77" t="n"/>
      <c r="R634" s="77" t="n"/>
      <c r="S634" s="77" t="n"/>
      <c r="T634" s="77" t="n"/>
      <c r="U634" s="77" t="n"/>
    </row>
    <row r="635" ht="15.75" customHeight="1" s="360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  <c r="P635" s="77" t="n"/>
      <c r="Q635" s="77" t="n"/>
      <c r="R635" s="77" t="n"/>
      <c r="S635" s="77" t="n"/>
      <c r="T635" s="77" t="n"/>
      <c r="U635" s="77" t="n"/>
    </row>
    <row r="636" ht="15.75" customHeight="1" s="360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  <c r="O636" s="77" t="n"/>
      <c r="P636" s="77" t="n"/>
      <c r="Q636" s="77" t="n"/>
      <c r="R636" s="77" t="n"/>
      <c r="S636" s="77" t="n"/>
      <c r="T636" s="77" t="n"/>
      <c r="U636" s="77" t="n"/>
    </row>
    <row r="637" ht="15.75" customHeight="1" s="360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  <c r="P637" s="77" t="n"/>
      <c r="Q637" s="77" t="n"/>
      <c r="R637" s="77" t="n"/>
      <c r="S637" s="77" t="n"/>
      <c r="T637" s="77" t="n"/>
      <c r="U637" s="77" t="n"/>
    </row>
    <row r="638" ht="15.75" customHeight="1" s="360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  <c r="O638" s="77" t="n"/>
      <c r="P638" s="77" t="n"/>
      <c r="Q638" s="77" t="n"/>
      <c r="R638" s="77" t="n"/>
      <c r="S638" s="77" t="n"/>
      <c r="T638" s="77" t="n"/>
      <c r="U638" s="77" t="n"/>
    </row>
    <row r="639" ht="15.75" customHeight="1" s="360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  <c r="P639" s="77" t="n"/>
      <c r="Q639" s="77" t="n"/>
      <c r="R639" s="77" t="n"/>
      <c r="S639" s="77" t="n"/>
      <c r="T639" s="77" t="n"/>
      <c r="U639" s="77" t="n"/>
    </row>
    <row r="640" ht="15.75" customHeight="1" s="360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  <c r="O640" s="77" t="n"/>
      <c r="P640" s="77" t="n"/>
      <c r="Q640" s="77" t="n"/>
      <c r="R640" s="77" t="n"/>
      <c r="S640" s="77" t="n"/>
      <c r="T640" s="77" t="n"/>
      <c r="U640" s="77" t="n"/>
    </row>
    <row r="641" ht="15.75" customHeight="1" s="360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  <c r="P641" s="77" t="n"/>
      <c r="Q641" s="77" t="n"/>
      <c r="R641" s="77" t="n"/>
      <c r="S641" s="77" t="n"/>
      <c r="T641" s="77" t="n"/>
      <c r="U641" s="77" t="n"/>
    </row>
    <row r="642" ht="15.75" customHeight="1" s="360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  <c r="O642" s="77" t="n"/>
      <c r="P642" s="77" t="n"/>
      <c r="Q642" s="77" t="n"/>
      <c r="R642" s="77" t="n"/>
      <c r="S642" s="77" t="n"/>
      <c r="T642" s="77" t="n"/>
      <c r="U642" s="77" t="n"/>
    </row>
    <row r="643" ht="15.75" customHeight="1" s="360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  <c r="P643" s="77" t="n"/>
      <c r="Q643" s="77" t="n"/>
      <c r="R643" s="77" t="n"/>
      <c r="S643" s="77" t="n"/>
      <c r="T643" s="77" t="n"/>
      <c r="U643" s="77" t="n"/>
    </row>
    <row r="644" ht="15.75" customHeight="1" s="360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  <c r="O644" s="77" t="n"/>
      <c r="P644" s="77" t="n"/>
      <c r="Q644" s="77" t="n"/>
      <c r="R644" s="77" t="n"/>
      <c r="S644" s="77" t="n"/>
      <c r="T644" s="77" t="n"/>
      <c r="U644" s="77" t="n"/>
    </row>
    <row r="645" ht="15.75" customHeight="1" s="360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  <c r="P645" s="77" t="n"/>
      <c r="Q645" s="77" t="n"/>
      <c r="R645" s="77" t="n"/>
      <c r="S645" s="77" t="n"/>
      <c r="T645" s="77" t="n"/>
      <c r="U645" s="77" t="n"/>
    </row>
    <row r="646" ht="15.75" customHeight="1" s="360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  <c r="O646" s="77" t="n"/>
      <c r="P646" s="77" t="n"/>
      <c r="Q646" s="77" t="n"/>
      <c r="R646" s="77" t="n"/>
      <c r="S646" s="77" t="n"/>
      <c r="T646" s="77" t="n"/>
      <c r="U646" s="77" t="n"/>
    </row>
    <row r="647" ht="15.75" customHeight="1" s="360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  <c r="P647" s="77" t="n"/>
      <c r="Q647" s="77" t="n"/>
      <c r="R647" s="77" t="n"/>
      <c r="S647" s="77" t="n"/>
      <c r="T647" s="77" t="n"/>
      <c r="U647" s="77" t="n"/>
    </row>
    <row r="648" ht="15.75" customHeight="1" s="360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  <c r="O648" s="77" t="n"/>
      <c r="P648" s="77" t="n"/>
      <c r="Q648" s="77" t="n"/>
      <c r="R648" s="77" t="n"/>
      <c r="S648" s="77" t="n"/>
      <c r="T648" s="77" t="n"/>
      <c r="U648" s="77" t="n"/>
    </row>
    <row r="649" ht="15.75" customHeight="1" s="360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  <c r="P649" s="77" t="n"/>
      <c r="Q649" s="77" t="n"/>
      <c r="R649" s="77" t="n"/>
      <c r="S649" s="77" t="n"/>
      <c r="T649" s="77" t="n"/>
      <c r="U649" s="77" t="n"/>
    </row>
    <row r="650" ht="15.75" customHeight="1" s="360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  <c r="O650" s="77" t="n"/>
      <c r="P650" s="77" t="n"/>
      <c r="Q650" s="77" t="n"/>
      <c r="R650" s="77" t="n"/>
      <c r="S650" s="77" t="n"/>
      <c r="T650" s="77" t="n"/>
      <c r="U650" s="77" t="n"/>
    </row>
    <row r="651" ht="15.75" customHeight="1" s="360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  <c r="P651" s="77" t="n"/>
      <c r="Q651" s="77" t="n"/>
      <c r="R651" s="77" t="n"/>
      <c r="S651" s="77" t="n"/>
      <c r="T651" s="77" t="n"/>
      <c r="U651" s="77" t="n"/>
    </row>
    <row r="652" ht="15.75" customHeight="1" s="360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  <c r="O652" s="77" t="n"/>
      <c r="P652" s="77" t="n"/>
      <c r="Q652" s="77" t="n"/>
      <c r="R652" s="77" t="n"/>
      <c r="S652" s="77" t="n"/>
      <c r="T652" s="77" t="n"/>
      <c r="U652" s="77" t="n"/>
    </row>
    <row r="653" ht="15.75" customHeight="1" s="360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  <c r="P653" s="77" t="n"/>
      <c r="Q653" s="77" t="n"/>
      <c r="R653" s="77" t="n"/>
      <c r="S653" s="77" t="n"/>
      <c r="T653" s="77" t="n"/>
      <c r="U653" s="77" t="n"/>
    </row>
    <row r="654" ht="15.75" customHeight="1" s="360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  <c r="O654" s="77" t="n"/>
      <c r="P654" s="77" t="n"/>
      <c r="Q654" s="77" t="n"/>
      <c r="R654" s="77" t="n"/>
      <c r="S654" s="77" t="n"/>
      <c r="T654" s="77" t="n"/>
      <c r="U654" s="77" t="n"/>
    </row>
    <row r="655" ht="15.75" customHeight="1" s="360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  <c r="P655" s="77" t="n"/>
      <c r="Q655" s="77" t="n"/>
      <c r="R655" s="77" t="n"/>
      <c r="S655" s="77" t="n"/>
      <c r="T655" s="77" t="n"/>
      <c r="U655" s="77" t="n"/>
    </row>
    <row r="656" ht="15.75" customHeight="1" s="360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  <c r="O656" s="77" t="n"/>
      <c r="P656" s="77" t="n"/>
      <c r="Q656" s="77" t="n"/>
      <c r="R656" s="77" t="n"/>
      <c r="S656" s="77" t="n"/>
      <c r="T656" s="77" t="n"/>
      <c r="U656" s="77" t="n"/>
    </row>
    <row r="657" ht="15.75" customHeight="1" s="360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  <c r="P657" s="77" t="n"/>
      <c r="Q657" s="77" t="n"/>
      <c r="R657" s="77" t="n"/>
      <c r="S657" s="77" t="n"/>
      <c r="T657" s="77" t="n"/>
      <c r="U657" s="77" t="n"/>
    </row>
    <row r="658" ht="15.75" customHeight="1" s="360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  <c r="O658" s="77" t="n"/>
      <c r="P658" s="77" t="n"/>
      <c r="Q658" s="77" t="n"/>
      <c r="R658" s="77" t="n"/>
      <c r="S658" s="77" t="n"/>
      <c r="T658" s="77" t="n"/>
      <c r="U658" s="77" t="n"/>
    </row>
    <row r="659" ht="15.75" customHeight="1" s="360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  <c r="P659" s="77" t="n"/>
      <c r="Q659" s="77" t="n"/>
      <c r="R659" s="77" t="n"/>
      <c r="S659" s="77" t="n"/>
      <c r="T659" s="77" t="n"/>
      <c r="U659" s="77" t="n"/>
    </row>
    <row r="660" ht="15.75" customHeight="1" s="360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  <c r="O660" s="77" t="n"/>
      <c r="P660" s="77" t="n"/>
      <c r="Q660" s="77" t="n"/>
      <c r="R660" s="77" t="n"/>
      <c r="S660" s="77" t="n"/>
      <c r="T660" s="77" t="n"/>
      <c r="U660" s="77" t="n"/>
    </row>
    <row r="661" ht="15.75" customHeight="1" s="360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  <c r="P661" s="77" t="n"/>
      <c r="Q661" s="77" t="n"/>
      <c r="R661" s="77" t="n"/>
      <c r="S661" s="77" t="n"/>
      <c r="T661" s="77" t="n"/>
      <c r="U661" s="77" t="n"/>
    </row>
    <row r="662" ht="15.75" customHeight="1" s="360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  <c r="O662" s="77" t="n"/>
      <c r="P662" s="77" t="n"/>
      <c r="Q662" s="77" t="n"/>
      <c r="R662" s="77" t="n"/>
      <c r="S662" s="77" t="n"/>
      <c r="T662" s="77" t="n"/>
      <c r="U662" s="77" t="n"/>
    </row>
    <row r="663" ht="15.75" customHeight="1" s="360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  <c r="P663" s="77" t="n"/>
      <c r="Q663" s="77" t="n"/>
      <c r="R663" s="77" t="n"/>
      <c r="S663" s="77" t="n"/>
      <c r="T663" s="77" t="n"/>
      <c r="U663" s="77" t="n"/>
    </row>
    <row r="664" ht="15.75" customHeight="1" s="360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  <c r="O664" s="77" t="n"/>
      <c r="P664" s="77" t="n"/>
      <c r="Q664" s="77" t="n"/>
      <c r="R664" s="77" t="n"/>
      <c r="S664" s="77" t="n"/>
      <c r="T664" s="77" t="n"/>
      <c r="U664" s="77" t="n"/>
    </row>
    <row r="665" ht="15.75" customHeight="1" s="360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  <c r="P665" s="77" t="n"/>
      <c r="Q665" s="77" t="n"/>
      <c r="R665" s="77" t="n"/>
      <c r="S665" s="77" t="n"/>
      <c r="T665" s="77" t="n"/>
      <c r="U665" s="77" t="n"/>
    </row>
    <row r="666" ht="15.75" customHeight="1" s="360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  <c r="O666" s="77" t="n"/>
      <c r="P666" s="77" t="n"/>
      <c r="Q666" s="77" t="n"/>
      <c r="R666" s="77" t="n"/>
      <c r="S666" s="77" t="n"/>
      <c r="T666" s="77" t="n"/>
      <c r="U666" s="77" t="n"/>
    </row>
    <row r="667" ht="15.75" customHeight="1" s="360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  <c r="P667" s="77" t="n"/>
      <c r="Q667" s="77" t="n"/>
      <c r="R667" s="77" t="n"/>
      <c r="S667" s="77" t="n"/>
      <c r="T667" s="77" t="n"/>
      <c r="U667" s="77" t="n"/>
    </row>
    <row r="668" ht="15.75" customHeight="1" s="360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  <c r="O668" s="77" t="n"/>
      <c r="P668" s="77" t="n"/>
      <c r="Q668" s="77" t="n"/>
      <c r="R668" s="77" t="n"/>
      <c r="S668" s="77" t="n"/>
      <c r="T668" s="77" t="n"/>
      <c r="U668" s="77" t="n"/>
    </row>
    <row r="669" ht="15.75" customHeight="1" s="360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  <c r="P669" s="77" t="n"/>
      <c r="Q669" s="77" t="n"/>
      <c r="R669" s="77" t="n"/>
      <c r="S669" s="77" t="n"/>
      <c r="T669" s="77" t="n"/>
      <c r="U669" s="77" t="n"/>
    </row>
    <row r="670" ht="15.75" customHeight="1" s="360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  <c r="O670" s="77" t="n"/>
      <c r="P670" s="77" t="n"/>
      <c r="Q670" s="77" t="n"/>
      <c r="R670" s="77" t="n"/>
      <c r="S670" s="77" t="n"/>
      <c r="T670" s="77" t="n"/>
      <c r="U670" s="77" t="n"/>
    </row>
    <row r="671" ht="15.75" customHeight="1" s="360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  <c r="P671" s="77" t="n"/>
      <c r="Q671" s="77" t="n"/>
      <c r="R671" s="77" t="n"/>
      <c r="S671" s="77" t="n"/>
      <c r="T671" s="77" t="n"/>
      <c r="U671" s="77" t="n"/>
    </row>
    <row r="672" ht="15.75" customHeight="1" s="360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  <c r="O672" s="77" t="n"/>
      <c r="P672" s="77" t="n"/>
      <c r="Q672" s="77" t="n"/>
      <c r="R672" s="77" t="n"/>
      <c r="S672" s="77" t="n"/>
      <c r="T672" s="77" t="n"/>
      <c r="U672" s="77" t="n"/>
    </row>
    <row r="673" ht="15.75" customHeight="1" s="360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  <c r="P673" s="77" t="n"/>
      <c r="Q673" s="77" t="n"/>
      <c r="R673" s="77" t="n"/>
      <c r="S673" s="77" t="n"/>
      <c r="T673" s="77" t="n"/>
      <c r="U673" s="77" t="n"/>
    </row>
    <row r="674" ht="15.75" customHeight="1" s="360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  <c r="O674" s="77" t="n"/>
      <c r="P674" s="77" t="n"/>
      <c r="Q674" s="77" t="n"/>
      <c r="R674" s="77" t="n"/>
      <c r="S674" s="77" t="n"/>
      <c r="T674" s="77" t="n"/>
      <c r="U674" s="77" t="n"/>
    </row>
    <row r="675" ht="15.75" customHeight="1" s="360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  <c r="P675" s="77" t="n"/>
      <c r="Q675" s="77" t="n"/>
      <c r="R675" s="77" t="n"/>
      <c r="S675" s="77" t="n"/>
      <c r="T675" s="77" t="n"/>
      <c r="U675" s="77" t="n"/>
    </row>
    <row r="676" ht="15.75" customHeight="1" s="360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  <c r="O676" s="77" t="n"/>
      <c r="P676" s="77" t="n"/>
      <c r="Q676" s="77" t="n"/>
      <c r="R676" s="77" t="n"/>
      <c r="S676" s="77" t="n"/>
      <c r="T676" s="77" t="n"/>
      <c r="U676" s="77" t="n"/>
    </row>
    <row r="677" ht="15.75" customHeight="1" s="360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  <c r="P677" s="77" t="n"/>
      <c r="Q677" s="77" t="n"/>
      <c r="R677" s="77" t="n"/>
      <c r="S677" s="77" t="n"/>
      <c r="T677" s="77" t="n"/>
      <c r="U677" s="77" t="n"/>
    </row>
    <row r="678" ht="15.75" customHeight="1" s="360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  <c r="O678" s="77" t="n"/>
      <c r="P678" s="77" t="n"/>
      <c r="Q678" s="77" t="n"/>
      <c r="R678" s="77" t="n"/>
      <c r="S678" s="77" t="n"/>
      <c r="T678" s="77" t="n"/>
      <c r="U678" s="77" t="n"/>
    </row>
    <row r="679" ht="15.75" customHeight="1" s="360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  <c r="P679" s="77" t="n"/>
      <c r="Q679" s="77" t="n"/>
      <c r="R679" s="77" t="n"/>
      <c r="S679" s="77" t="n"/>
      <c r="T679" s="77" t="n"/>
      <c r="U679" s="77" t="n"/>
    </row>
    <row r="680" ht="15.75" customHeight="1" s="360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  <c r="O680" s="77" t="n"/>
      <c r="P680" s="77" t="n"/>
      <c r="Q680" s="77" t="n"/>
      <c r="R680" s="77" t="n"/>
      <c r="S680" s="77" t="n"/>
      <c r="T680" s="77" t="n"/>
      <c r="U680" s="77" t="n"/>
    </row>
    <row r="681" ht="15.75" customHeight="1" s="360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  <c r="P681" s="77" t="n"/>
      <c r="Q681" s="77" t="n"/>
      <c r="R681" s="77" t="n"/>
      <c r="S681" s="77" t="n"/>
      <c r="T681" s="77" t="n"/>
      <c r="U681" s="77" t="n"/>
    </row>
    <row r="682" ht="15.75" customHeight="1" s="360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  <c r="O682" s="77" t="n"/>
      <c r="P682" s="77" t="n"/>
      <c r="Q682" s="77" t="n"/>
      <c r="R682" s="77" t="n"/>
      <c r="S682" s="77" t="n"/>
      <c r="T682" s="77" t="n"/>
      <c r="U682" s="77" t="n"/>
    </row>
    <row r="683" ht="15.75" customHeight="1" s="360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  <c r="P683" s="77" t="n"/>
      <c r="Q683" s="77" t="n"/>
      <c r="R683" s="77" t="n"/>
      <c r="S683" s="77" t="n"/>
      <c r="T683" s="77" t="n"/>
      <c r="U683" s="77" t="n"/>
    </row>
    <row r="684" ht="15.75" customHeight="1" s="360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  <c r="O684" s="77" t="n"/>
      <c r="P684" s="77" t="n"/>
      <c r="Q684" s="77" t="n"/>
      <c r="R684" s="77" t="n"/>
      <c r="S684" s="77" t="n"/>
      <c r="T684" s="77" t="n"/>
      <c r="U684" s="77" t="n"/>
    </row>
    <row r="685" ht="15.75" customHeight="1" s="360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  <c r="P685" s="77" t="n"/>
      <c r="Q685" s="77" t="n"/>
      <c r="R685" s="77" t="n"/>
      <c r="S685" s="77" t="n"/>
      <c r="T685" s="77" t="n"/>
      <c r="U685" s="77" t="n"/>
    </row>
    <row r="686" ht="15.75" customHeight="1" s="360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  <c r="O686" s="77" t="n"/>
      <c r="P686" s="77" t="n"/>
      <c r="Q686" s="77" t="n"/>
      <c r="R686" s="77" t="n"/>
      <c r="S686" s="77" t="n"/>
      <c r="T686" s="77" t="n"/>
      <c r="U686" s="77" t="n"/>
    </row>
    <row r="687" ht="15.75" customHeight="1" s="360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  <c r="P687" s="77" t="n"/>
      <c r="Q687" s="77" t="n"/>
      <c r="R687" s="77" t="n"/>
      <c r="S687" s="77" t="n"/>
      <c r="T687" s="77" t="n"/>
      <c r="U687" s="77" t="n"/>
    </row>
    <row r="688" ht="15.75" customHeight="1" s="360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  <c r="O688" s="77" t="n"/>
      <c r="P688" s="77" t="n"/>
      <c r="Q688" s="77" t="n"/>
      <c r="R688" s="77" t="n"/>
      <c r="S688" s="77" t="n"/>
      <c r="T688" s="77" t="n"/>
      <c r="U688" s="77" t="n"/>
    </row>
    <row r="689" ht="15.75" customHeight="1" s="360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  <c r="P689" s="77" t="n"/>
      <c r="Q689" s="77" t="n"/>
      <c r="R689" s="77" t="n"/>
      <c r="S689" s="77" t="n"/>
      <c r="T689" s="77" t="n"/>
      <c r="U689" s="77" t="n"/>
    </row>
    <row r="690" ht="15.75" customHeight="1" s="360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  <c r="O690" s="77" t="n"/>
      <c r="P690" s="77" t="n"/>
      <c r="Q690" s="77" t="n"/>
      <c r="R690" s="77" t="n"/>
      <c r="S690" s="77" t="n"/>
      <c r="T690" s="77" t="n"/>
      <c r="U690" s="77" t="n"/>
    </row>
    <row r="691" ht="15.75" customHeight="1" s="360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  <c r="P691" s="77" t="n"/>
      <c r="Q691" s="77" t="n"/>
      <c r="R691" s="77" t="n"/>
      <c r="S691" s="77" t="n"/>
      <c r="T691" s="77" t="n"/>
      <c r="U691" s="77" t="n"/>
    </row>
    <row r="692" ht="15.75" customHeight="1" s="360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  <c r="O692" s="77" t="n"/>
      <c r="P692" s="77" t="n"/>
      <c r="Q692" s="77" t="n"/>
      <c r="R692" s="77" t="n"/>
      <c r="S692" s="77" t="n"/>
      <c r="T692" s="77" t="n"/>
      <c r="U692" s="77" t="n"/>
    </row>
    <row r="693" ht="15.75" customHeight="1" s="360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  <c r="P693" s="77" t="n"/>
      <c r="Q693" s="77" t="n"/>
      <c r="R693" s="77" t="n"/>
      <c r="S693" s="77" t="n"/>
      <c r="T693" s="77" t="n"/>
      <c r="U693" s="77" t="n"/>
    </row>
    <row r="694" ht="15.75" customHeight="1" s="360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  <c r="O694" s="77" t="n"/>
      <c r="P694" s="77" t="n"/>
      <c r="Q694" s="77" t="n"/>
      <c r="R694" s="77" t="n"/>
      <c r="S694" s="77" t="n"/>
      <c r="T694" s="77" t="n"/>
      <c r="U694" s="77" t="n"/>
    </row>
    <row r="695" ht="15.75" customHeight="1" s="360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  <c r="P695" s="77" t="n"/>
      <c r="Q695" s="77" t="n"/>
      <c r="R695" s="77" t="n"/>
      <c r="S695" s="77" t="n"/>
      <c r="T695" s="77" t="n"/>
      <c r="U695" s="77" t="n"/>
    </row>
    <row r="696" ht="15.75" customHeight="1" s="360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  <c r="O696" s="77" t="n"/>
      <c r="P696" s="77" t="n"/>
      <c r="Q696" s="77" t="n"/>
      <c r="R696" s="77" t="n"/>
      <c r="S696" s="77" t="n"/>
      <c r="T696" s="77" t="n"/>
      <c r="U696" s="77" t="n"/>
    </row>
    <row r="697" ht="15.75" customHeight="1" s="360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  <c r="P697" s="77" t="n"/>
      <c r="Q697" s="77" t="n"/>
      <c r="R697" s="77" t="n"/>
      <c r="S697" s="77" t="n"/>
      <c r="T697" s="77" t="n"/>
      <c r="U697" s="77" t="n"/>
    </row>
    <row r="698" ht="15.75" customHeight="1" s="360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  <c r="O698" s="77" t="n"/>
      <c r="P698" s="77" t="n"/>
      <c r="Q698" s="77" t="n"/>
      <c r="R698" s="77" t="n"/>
      <c r="S698" s="77" t="n"/>
      <c r="T698" s="77" t="n"/>
      <c r="U698" s="77" t="n"/>
    </row>
    <row r="699" ht="15.75" customHeight="1" s="360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  <c r="P699" s="77" t="n"/>
      <c r="Q699" s="77" t="n"/>
      <c r="R699" s="77" t="n"/>
      <c r="S699" s="77" t="n"/>
      <c r="T699" s="77" t="n"/>
      <c r="U699" s="77" t="n"/>
    </row>
    <row r="700" ht="15.75" customHeight="1" s="360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  <c r="O700" s="77" t="n"/>
      <c r="P700" s="77" t="n"/>
      <c r="Q700" s="77" t="n"/>
      <c r="R700" s="77" t="n"/>
      <c r="S700" s="77" t="n"/>
      <c r="T700" s="77" t="n"/>
      <c r="U700" s="77" t="n"/>
    </row>
    <row r="701" ht="15.75" customHeight="1" s="360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  <c r="P701" s="77" t="n"/>
      <c r="Q701" s="77" t="n"/>
      <c r="R701" s="77" t="n"/>
      <c r="S701" s="77" t="n"/>
      <c r="T701" s="77" t="n"/>
      <c r="U701" s="77" t="n"/>
    </row>
    <row r="702" ht="15.75" customHeight="1" s="360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  <c r="O702" s="77" t="n"/>
      <c r="P702" s="77" t="n"/>
      <c r="Q702" s="77" t="n"/>
      <c r="R702" s="77" t="n"/>
      <c r="S702" s="77" t="n"/>
      <c r="T702" s="77" t="n"/>
      <c r="U702" s="77" t="n"/>
    </row>
    <row r="703" ht="15.75" customHeight="1" s="360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  <c r="P703" s="77" t="n"/>
      <c r="Q703" s="77" t="n"/>
      <c r="R703" s="77" t="n"/>
      <c r="S703" s="77" t="n"/>
      <c r="T703" s="77" t="n"/>
      <c r="U703" s="77" t="n"/>
    </row>
    <row r="704" ht="15.75" customHeight="1" s="360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  <c r="O704" s="77" t="n"/>
      <c r="P704" s="77" t="n"/>
      <c r="Q704" s="77" t="n"/>
      <c r="R704" s="77" t="n"/>
      <c r="S704" s="77" t="n"/>
      <c r="T704" s="77" t="n"/>
      <c r="U704" s="77" t="n"/>
    </row>
    <row r="705" ht="15.75" customHeight="1" s="360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  <c r="P705" s="77" t="n"/>
      <c r="Q705" s="77" t="n"/>
      <c r="R705" s="77" t="n"/>
      <c r="S705" s="77" t="n"/>
      <c r="T705" s="77" t="n"/>
      <c r="U705" s="77" t="n"/>
    </row>
    <row r="706" ht="15.75" customHeight="1" s="360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  <c r="O706" s="77" t="n"/>
      <c r="P706" s="77" t="n"/>
      <c r="Q706" s="77" t="n"/>
      <c r="R706" s="77" t="n"/>
      <c r="S706" s="77" t="n"/>
      <c r="T706" s="77" t="n"/>
      <c r="U706" s="77" t="n"/>
    </row>
    <row r="707" ht="15.75" customHeight="1" s="360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  <c r="P707" s="77" t="n"/>
      <c r="Q707" s="77" t="n"/>
      <c r="R707" s="77" t="n"/>
      <c r="S707" s="77" t="n"/>
      <c r="T707" s="77" t="n"/>
      <c r="U707" s="77" t="n"/>
    </row>
    <row r="708" ht="15.75" customHeight="1" s="360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  <c r="O708" s="77" t="n"/>
      <c r="P708" s="77" t="n"/>
      <c r="Q708" s="77" t="n"/>
      <c r="R708" s="77" t="n"/>
      <c r="S708" s="77" t="n"/>
      <c r="T708" s="77" t="n"/>
      <c r="U708" s="77" t="n"/>
    </row>
    <row r="709" ht="15.75" customHeight="1" s="360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  <c r="P709" s="77" t="n"/>
      <c r="Q709" s="77" t="n"/>
      <c r="R709" s="77" t="n"/>
      <c r="S709" s="77" t="n"/>
      <c r="T709" s="77" t="n"/>
      <c r="U709" s="77" t="n"/>
    </row>
    <row r="710" ht="15.75" customHeight="1" s="360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  <c r="O710" s="77" t="n"/>
      <c r="P710" s="77" t="n"/>
      <c r="Q710" s="77" t="n"/>
      <c r="R710" s="77" t="n"/>
      <c r="S710" s="77" t="n"/>
      <c r="T710" s="77" t="n"/>
      <c r="U710" s="77" t="n"/>
    </row>
    <row r="711" ht="15.75" customHeight="1" s="360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  <c r="P711" s="77" t="n"/>
      <c r="Q711" s="77" t="n"/>
      <c r="R711" s="77" t="n"/>
      <c r="S711" s="77" t="n"/>
      <c r="T711" s="77" t="n"/>
      <c r="U711" s="77" t="n"/>
    </row>
    <row r="712" ht="15.75" customHeight="1" s="360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  <c r="O712" s="77" t="n"/>
      <c r="P712" s="77" t="n"/>
      <c r="Q712" s="77" t="n"/>
      <c r="R712" s="77" t="n"/>
      <c r="S712" s="77" t="n"/>
      <c r="T712" s="77" t="n"/>
      <c r="U712" s="77" t="n"/>
    </row>
    <row r="713" ht="15.75" customHeight="1" s="360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  <c r="P713" s="77" t="n"/>
      <c r="Q713" s="77" t="n"/>
      <c r="R713" s="77" t="n"/>
      <c r="S713" s="77" t="n"/>
      <c r="T713" s="77" t="n"/>
      <c r="U713" s="77" t="n"/>
    </row>
    <row r="714" ht="15.75" customHeight="1" s="360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  <c r="O714" s="77" t="n"/>
      <c r="P714" s="77" t="n"/>
      <c r="Q714" s="77" t="n"/>
      <c r="R714" s="77" t="n"/>
      <c r="S714" s="77" t="n"/>
      <c r="T714" s="77" t="n"/>
      <c r="U714" s="77" t="n"/>
    </row>
    <row r="715" ht="15.75" customHeight="1" s="360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  <c r="P715" s="77" t="n"/>
      <c r="Q715" s="77" t="n"/>
      <c r="R715" s="77" t="n"/>
      <c r="S715" s="77" t="n"/>
      <c r="T715" s="77" t="n"/>
      <c r="U715" s="77" t="n"/>
    </row>
    <row r="716" ht="15.75" customHeight="1" s="360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  <c r="O716" s="77" t="n"/>
      <c r="P716" s="77" t="n"/>
      <c r="Q716" s="77" t="n"/>
      <c r="R716" s="77" t="n"/>
      <c r="S716" s="77" t="n"/>
      <c r="T716" s="77" t="n"/>
      <c r="U716" s="77" t="n"/>
    </row>
    <row r="717" ht="15.75" customHeight="1" s="360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  <c r="P717" s="77" t="n"/>
      <c r="Q717" s="77" t="n"/>
      <c r="R717" s="77" t="n"/>
      <c r="S717" s="77" t="n"/>
      <c r="T717" s="77" t="n"/>
      <c r="U717" s="77" t="n"/>
    </row>
    <row r="718" ht="15.75" customHeight="1" s="360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  <c r="O718" s="77" t="n"/>
      <c r="P718" s="77" t="n"/>
      <c r="Q718" s="77" t="n"/>
      <c r="R718" s="77" t="n"/>
      <c r="S718" s="77" t="n"/>
      <c r="T718" s="77" t="n"/>
      <c r="U718" s="77" t="n"/>
    </row>
    <row r="719" ht="15.75" customHeight="1" s="360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  <c r="P719" s="77" t="n"/>
      <c r="Q719" s="77" t="n"/>
      <c r="R719" s="77" t="n"/>
      <c r="S719" s="77" t="n"/>
      <c r="T719" s="77" t="n"/>
      <c r="U719" s="77" t="n"/>
    </row>
    <row r="720" ht="15.75" customHeight="1" s="360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  <c r="O720" s="77" t="n"/>
      <c r="P720" s="77" t="n"/>
      <c r="Q720" s="77" t="n"/>
      <c r="R720" s="77" t="n"/>
      <c r="S720" s="77" t="n"/>
      <c r="T720" s="77" t="n"/>
      <c r="U720" s="77" t="n"/>
    </row>
    <row r="721" ht="15.75" customHeight="1" s="360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  <c r="P721" s="77" t="n"/>
      <c r="Q721" s="77" t="n"/>
      <c r="R721" s="77" t="n"/>
      <c r="S721" s="77" t="n"/>
      <c r="T721" s="77" t="n"/>
      <c r="U721" s="77" t="n"/>
    </row>
    <row r="722" ht="15.75" customHeight="1" s="360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  <c r="O722" s="77" t="n"/>
      <c r="P722" s="77" t="n"/>
      <c r="Q722" s="77" t="n"/>
      <c r="R722" s="77" t="n"/>
      <c r="S722" s="77" t="n"/>
      <c r="T722" s="77" t="n"/>
      <c r="U722" s="77" t="n"/>
    </row>
    <row r="723" ht="15.75" customHeight="1" s="360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  <c r="P723" s="77" t="n"/>
      <c r="Q723" s="77" t="n"/>
      <c r="R723" s="77" t="n"/>
      <c r="S723" s="77" t="n"/>
      <c r="T723" s="77" t="n"/>
      <c r="U723" s="77" t="n"/>
    </row>
    <row r="724" ht="15.75" customHeight="1" s="360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  <c r="O724" s="77" t="n"/>
      <c r="P724" s="77" t="n"/>
      <c r="Q724" s="77" t="n"/>
      <c r="R724" s="77" t="n"/>
      <c r="S724" s="77" t="n"/>
      <c r="T724" s="77" t="n"/>
      <c r="U724" s="77" t="n"/>
    </row>
    <row r="725" ht="15.75" customHeight="1" s="360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  <c r="P725" s="77" t="n"/>
      <c r="Q725" s="77" t="n"/>
      <c r="R725" s="77" t="n"/>
      <c r="S725" s="77" t="n"/>
      <c r="T725" s="77" t="n"/>
      <c r="U725" s="77" t="n"/>
    </row>
    <row r="726" ht="15.75" customHeight="1" s="360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  <c r="O726" s="77" t="n"/>
      <c r="P726" s="77" t="n"/>
      <c r="Q726" s="77" t="n"/>
      <c r="R726" s="77" t="n"/>
      <c r="S726" s="77" t="n"/>
      <c r="T726" s="77" t="n"/>
      <c r="U726" s="77" t="n"/>
    </row>
    <row r="727" ht="15.75" customHeight="1" s="360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  <c r="P727" s="77" t="n"/>
      <c r="Q727" s="77" t="n"/>
      <c r="R727" s="77" t="n"/>
      <c r="S727" s="77" t="n"/>
      <c r="T727" s="77" t="n"/>
      <c r="U727" s="77" t="n"/>
    </row>
    <row r="728" ht="15.75" customHeight="1" s="360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  <c r="O728" s="77" t="n"/>
      <c r="P728" s="77" t="n"/>
      <c r="Q728" s="77" t="n"/>
      <c r="R728" s="77" t="n"/>
      <c r="S728" s="77" t="n"/>
      <c r="T728" s="77" t="n"/>
      <c r="U728" s="77" t="n"/>
    </row>
    <row r="729" ht="15.75" customHeight="1" s="360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  <c r="P729" s="77" t="n"/>
      <c r="Q729" s="77" t="n"/>
      <c r="R729" s="77" t="n"/>
      <c r="S729" s="77" t="n"/>
      <c r="T729" s="77" t="n"/>
      <c r="U729" s="77" t="n"/>
    </row>
    <row r="730" ht="15.75" customHeight="1" s="360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  <c r="O730" s="77" t="n"/>
      <c r="P730" s="77" t="n"/>
      <c r="Q730" s="77" t="n"/>
      <c r="R730" s="77" t="n"/>
      <c r="S730" s="77" t="n"/>
      <c r="T730" s="77" t="n"/>
      <c r="U730" s="77" t="n"/>
    </row>
    <row r="731" ht="15.75" customHeight="1" s="360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  <c r="P731" s="77" t="n"/>
      <c r="Q731" s="77" t="n"/>
      <c r="R731" s="77" t="n"/>
      <c r="S731" s="77" t="n"/>
      <c r="T731" s="77" t="n"/>
      <c r="U731" s="77" t="n"/>
    </row>
    <row r="732" ht="15.75" customHeight="1" s="360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  <c r="O732" s="77" t="n"/>
      <c r="P732" s="77" t="n"/>
      <c r="Q732" s="77" t="n"/>
      <c r="R732" s="77" t="n"/>
      <c r="S732" s="77" t="n"/>
      <c r="T732" s="77" t="n"/>
      <c r="U732" s="77" t="n"/>
    </row>
    <row r="733" ht="15.75" customHeight="1" s="360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  <c r="P733" s="77" t="n"/>
      <c r="Q733" s="77" t="n"/>
      <c r="R733" s="77" t="n"/>
      <c r="S733" s="77" t="n"/>
      <c r="T733" s="77" t="n"/>
      <c r="U733" s="77" t="n"/>
    </row>
    <row r="734" ht="15.75" customHeight="1" s="360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  <c r="O734" s="77" t="n"/>
      <c r="P734" s="77" t="n"/>
      <c r="Q734" s="77" t="n"/>
      <c r="R734" s="77" t="n"/>
      <c r="S734" s="77" t="n"/>
      <c r="T734" s="77" t="n"/>
      <c r="U734" s="77" t="n"/>
    </row>
    <row r="735" ht="15.75" customHeight="1" s="360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  <c r="P735" s="77" t="n"/>
      <c r="Q735" s="77" t="n"/>
      <c r="R735" s="77" t="n"/>
      <c r="S735" s="77" t="n"/>
      <c r="T735" s="77" t="n"/>
      <c r="U735" s="77" t="n"/>
    </row>
    <row r="736" ht="15.75" customHeight="1" s="360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  <c r="O736" s="77" t="n"/>
      <c r="P736" s="77" t="n"/>
      <c r="Q736" s="77" t="n"/>
      <c r="R736" s="77" t="n"/>
      <c r="S736" s="77" t="n"/>
      <c r="T736" s="77" t="n"/>
      <c r="U736" s="77" t="n"/>
    </row>
    <row r="737" ht="15.75" customHeight="1" s="360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  <c r="P737" s="77" t="n"/>
      <c r="Q737" s="77" t="n"/>
      <c r="R737" s="77" t="n"/>
      <c r="S737" s="77" t="n"/>
      <c r="T737" s="77" t="n"/>
      <c r="U737" s="77" t="n"/>
    </row>
    <row r="738" ht="15.75" customHeight="1" s="360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  <c r="O738" s="77" t="n"/>
      <c r="P738" s="77" t="n"/>
      <c r="Q738" s="77" t="n"/>
      <c r="R738" s="77" t="n"/>
      <c r="S738" s="77" t="n"/>
      <c r="T738" s="77" t="n"/>
      <c r="U738" s="77" t="n"/>
    </row>
    <row r="739" ht="15.75" customHeight="1" s="360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  <c r="P739" s="77" t="n"/>
      <c r="Q739" s="77" t="n"/>
      <c r="R739" s="77" t="n"/>
      <c r="S739" s="77" t="n"/>
      <c r="T739" s="77" t="n"/>
      <c r="U739" s="77" t="n"/>
    </row>
    <row r="740" ht="15.75" customHeight="1" s="360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  <c r="O740" s="77" t="n"/>
      <c r="P740" s="77" t="n"/>
      <c r="Q740" s="77" t="n"/>
      <c r="R740" s="77" t="n"/>
      <c r="S740" s="77" t="n"/>
      <c r="T740" s="77" t="n"/>
      <c r="U740" s="77" t="n"/>
    </row>
    <row r="741" ht="15.75" customHeight="1" s="360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  <c r="P741" s="77" t="n"/>
      <c r="Q741" s="77" t="n"/>
      <c r="R741" s="77" t="n"/>
      <c r="S741" s="77" t="n"/>
      <c r="T741" s="77" t="n"/>
      <c r="U741" s="77" t="n"/>
    </row>
    <row r="742" ht="15.75" customHeight="1" s="360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  <c r="O742" s="77" t="n"/>
      <c r="P742" s="77" t="n"/>
      <c r="Q742" s="77" t="n"/>
      <c r="R742" s="77" t="n"/>
      <c r="S742" s="77" t="n"/>
      <c r="T742" s="77" t="n"/>
      <c r="U742" s="77" t="n"/>
    </row>
    <row r="743" ht="15.75" customHeight="1" s="360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  <c r="P743" s="77" t="n"/>
      <c r="Q743" s="77" t="n"/>
      <c r="R743" s="77" t="n"/>
      <c r="S743" s="77" t="n"/>
      <c r="T743" s="77" t="n"/>
      <c r="U743" s="77" t="n"/>
    </row>
    <row r="744" ht="15.75" customHeight="1" s="360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  <c r="O744" s="77" t="n"/>
      <c r="P744" s="77" t="n"/>
      <c r="Q744" s="77" t="n"/>
      <c r="R744" s="77" t="n"/>
      <c r="S744" s="77" t="n"/>
      <c r="T744" s="77" t="n"/>
      <c r="U744" s="77" t="n"/>
    </row>
    <row r="745" ht="15.75" customHeight="1" s="360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  <c r="P745" s="77" t="n"/>
      <c r="Q745" s="77" t="n"/>
      <c r="R745" s="77" t="n"/>
      <c r="S745" s="77" t="n"/>
      <c r="T745" s="77" t="n"/>
      <c r="U745" s="77" t="n"/>
    </row>
    <row r="746" ht="15.75" customHeight="1" s="360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  <c r="O746" s="77" t="n"/>
      <c r="P746" s="77" t="n"/>
      <c r="Q746" s="77" t="n"/>
      <c r="R746" s="77" t="n"/>
      <c r="S746" s="77" t="n"/>
      <c r="T746" s="77" t="n"/>
      <c r="U746" s="77" t="n"/>
    </row>
    <row r="747" ht="15.75" customHeight="1" s="360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  <c r="P747" s="77" t="n"/>
      <c r="Q747" s="77" t="n"/>
      <c r="R747" s="77" t="n"/>
      <c r="S747" s="77" t="n"/>
      <c r="T747" s="77" t="n"/>
      <c r="U747" s="77" t="n"/>
    </row>
    <row r="748" ht="15.75" customHeight="1" s="360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  <c r="O748" s="77" t="n"/>
      <c r="P748" s="77" t="n"/>
      <c r="Q748" s="77" t="n"/>
      <c r="R748" s="77" t="n"/>
      <c r="S748" s="77" t="n"/>
      <c r="T748" s="77" t="n"/>
      <c r="U748" s="77" t="n"/>
    </row>
    <row r="749" ht="15.75" customHeight="1" s="360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  <c r="P749" s="77" t="n"/>
      <c r="Q749" s="77" t="n"/>
      <c r="R749" s="77" t="n"/>
      <c r="S749" s="77" t="n"/>
      <c r="T749" s="77" t="n"/>
      <c r="U749" s="77" t="n"/>
    </row>
    <row r="750" ht="15.75" customHeight="1" s="360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  <c r="O750" s="77" t="n"/>
      <c r="P750" s="77" t="n"/>
      <c r="Q750" s="77" t="n"/>
      <c r="R750" s="77" t="n"/>
      <c r="S750" s="77" t="n"/>
      <c r="T750" s="77" t="n"/>
      <c r="U750" s="77" t="n"/>
    </row>
    <row r="751" ht="15.75" customHeight="1" s="360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  <c r="P751" s="77" t="n"/>
      <c r="Q751" s="77" t="n"/>
      <c r="R751" s="77" t="n"/>
      <c r="S751" s="77" t="n"/>
      <c r="T751" s="77" t="n"/>
      <c r="U751" s="77" t="n"/>
    </row>
    <row r="752" ht="15.75" customHeight="1" s="360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  <c r="O752" s="77" t="n"/>
      <c r="P752" s="77" t="n"/>
      <c r="Q752" s="77" t="n"/>
      <c r="R752" s="77" t="n"/>
      <c r="S752" s="77" t="n"/>
      <c r="T752" s="77" t="n"/>
      <c r="U752" s="77" t="n"/>
    </row>
    <row r="753" ht="15.75" customHeight="1" s="360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  <c r="P753" s="77" t="n"/>
      <c r="Q753" s="77" t="n"/>
      <c r="R753" s="77" t="n"/>
      <c r="S753" s="77" t="n"/>
      <c r="T753" s="77" t="n"/>
      <c r="U753" s="77" t="n"/>
    </row>
    <row r="754" ht="15.75" customHeight="1" s="360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  <c r="O754" s="77" t="n"/>
      <c r="P754" s="77" t="n"/>
      <c r="Q754" s="77" t="n"/>
      <c r="R754" s="77" t="n"/>
      <c r="S754" s="77" t="n"/>
      <c r="T754" s="77" t="n"/>
      <c r="U754" s="77" t="n"/>
    </row>
    <row r="755" ht="15.75" customHeight="1" s="360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  <c r="P755" s="77" t="n"/>
      <c r="Q755" s="77" t="n"/>
      <c r="R755" s="77" t="n"/>
      <c r="S755" s="77" t="n"/>
      <c r="T755" s="77" t="n"/>
      <c r="U755" s="77" t="n"/>
    </row>
    <row r="756" ht="15.75" customHeight="1" s="360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  <c r="O756" s="77" t="n"/>
      <c r="P756" s="77" t="n"/>
      <c r="Q756" s="77" t="n"/>
      <c r="R756" s="77" t="n"/>
      <c r="S756" s="77" t="n"/>
      <c r="T756" s="77" t="n"/>
      <c r="U756" s="77" t="n"/>
    </row>
    <row r="757" ht="15.75" customHeight="1" s="360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  <c r="P757" s="77" t="n"/>
      <c r="Q757" s="77" t="n"/>
      <c r="R757" s="77" t="n"/>
      <c r="S757" s="77" t="n"/>
      <c r="T757" s="77" t="n"/>
      <c r="U757" s="77" t="n"/>
    </row>
    <row r="758" ht="15.75" customHeight="1" s="360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  <c r="O758" s="77" t="n"/>
      <c r="P758" s="77" t="n"/>
      <c r="Q758" s="77" t="n"/>
      <c r="R758" s="77" t="n"/>
      <c r="S758" s="77" t="n"/>
      <c r="T758" s="77" t="n"/>
      <c r="U758" s="77" t="n"/>
    </row>
    <row r="759" ht="15.75" customHeight="1" s="360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  <c r="P759" s="77" t="n"/>
      <c r="Q759" s="77" t="n"/>
      <c r="R759" s="77" t="n"/>
      <c r="S759" s="77" t="n"/>
      <c r="T759" s="77" t="n"/>
      <c r="U759" s="77" t="n"/>
    </row>
    <row r="760" ht="15.75" customHeight="1" s="360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  <c r="O760" s="77" t="n"/>
      <c r="P760" s="77" t="n"/>
      <c r="Q760" s="77" t="n"/>
      <c r="R760" s="77" t="n"/>
      <c r="S760" s="77" t="n"/>
      <c r="T760" s="77" t="n"/>
      <c r="U760" s="77" t="n"/>
    </row>
    <row r="761" ht="15.75" customHeight="1" s="360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  <c r="P761" s="77" t="n"/>
      <c r="Q761" s="77" t="n"/>
      <c r="R761" s="77" t="n"/>
      <c r="S761" s="77" t="n"/>
      <c r="T761" s="77" t="n"/>
      <c r="U761" s="77" t="n"/>
    </row>
    <row r="762" ht="15.75" customHeight="1" s="360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  <c r="O762" s="77" t="n"/>
      <c r="P762" s="77" t="n"/>
      <c r="Q762" s="77" t="n"/>
      <c r="R762" s="77" t="n"/>
      <c r="S762" s="77" t="n"/>
      <c r="T762" s="77" t="n"/>
      <c r="U762" s="77" t="n"/>
    </row>
    <row r="763" ht="15.75" customHeight="1" s="360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  <c r="P763" s="77" t="n"/>
      <c r="Q763" s="77" t="n"/>
      <c r="R763" s="77" t="n"/>
      <c r="S763" s="77" t="n"/>
      <c r="T763" s="77" t="n"/>
      <c r="U763" s="77" t="n"/>
    </row>
    <row r="764" ht="15.75" customHeight="1" s="360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  <c r="O764" s="77" t="n"/>
      <c r="P764" s="77" t="n"/>
      <c r="Q764" s="77" t="n"/>
      <c r="R764" s="77" t="n"/>
      <c r="S764" s="77" t="n"/>
      <c r="T764" s="77" t="n"/>
      <c r="U764" s="77" t="n"/>
    </row>
    <row r="765" ht="15.75" customHeight="1" s="360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  <c r="P765" s="77" t="n"/>
      <c r="Q765" s="77" t="n"/>
      <c r="R765" s="77" t="n"/>
      <c r="S765" s="77" t="n"/>
      <c r="T765" s="77" t="n"/>
      <c r="U765" s="77" t="n"/>
    </row>
    <row r="766" ht="15.75" customHeight="1" s="360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  <c r="O766" s="77" t="n"/>
      <c r="P766" s="77" t="n"/>
      <c r="Q766" s="77" t="n"/>
      <c r="R766" s="77" t="n"/>
      <c r="S766" s="77" t="n"/>
      <c r="T766" s="77" t="n"/>
      <c r="U766" s="77" t="n"/>
    </row>
    <row r="767" ht="15.75" customHeight="1" s="360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  <c r="P767" s="77" t="n"/>
      <c r="Q767" s="77" t="n"/>
      <c r="R767" s="77" t="n"/>
      <c r="S767" s="77" t="n"/>
      <c r="T767" s="77" t="n"/>
      <c r="U767" s="77" t="n"/>
    </row>
    <row r="768" ht="15.75" customHeight="1" s="360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  <c r="O768" s="77" t="n"/>
      <c r="P768" s="77" t="n"/>
      <c r="Q768" s="77" t="n"/>
      <c r="R768" s="77" t="n"/>
      <c r="S768" s="77" t="n"/>
      <c r="T768" s="77" t="n"/>
      <c r="U768" s="77" t="n"/>
    </row>
    <row r="769" ht="15.75" customHeight="1" s="360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  <c r="P769" s="77" t="n"/>
      <c r="Q769" s="77" t="n"/>
      <c r="R769" s="77" t="n"/>
      <c r="S769" s="77" t="n"/>
      <c r="T769" s="77" t="n"/>
      <c r="U769" s="77" t="n"/>
    </row>
    <row r="770" ht="15.75" customHeight="1" s="360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  <c r="O770" s="77" t="n"/>
      <c r="P770" s="77" t="n"/>
      <c r="Q770" s="77" t="n"/>
      <c r="R770" s="77" t="n"/>
      <c r="S770" s="77" t="n"/>
      <c r="T770" s="77" t="n"/>
      <c r="U770" s="77" t="n"/>
    </row>
    <row r="771" ht="15.75" customHeight="1" s="360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  <c r="P771" s="77" t="n"/>
      <c r="Q771" s="77" t="n"/>
      <c r="R771" s="77" t="n"/>
      <c r="S771" s="77" t="n"/>
      <c r="T771" s="77" t="n"/>
      <c r="U771" s="77" t="n"/>
    </row>
    <row r="772" ht="15.75" customHeight="1" s="360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  <c r="O772" s="77" t="n"/>
      <c r="P772" s="77" t="n"/>
      <c r="Q772" s="77" t="n"/>
      <c r="R772" s="77" t="n"/>
      <c r="S772" s="77" t="n"/>
      <c r="T772" s="77" t="n"/>
      <c r="U772" s="77" t="n"/>
    </row>
    <row r="773" ht="15.75" customHeight="1" s="360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  <c r="P773" s="77" t="n"/>
      <c r="Q773" s="77" t="n"/>
      <c r="R773" s="77" t="n"/>
      <c r="S773" s="77" t="n"/>
      <c r="T773" s="77" t="n"/>
      <c r="U773" s="77" t="n"/>
    </row>
    <row r="774" ht="15.75" customHeight="1" s="360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  <c r="O774" s="77" t="n"/>
      <c r="P774" s="77" t="n"/>
      <c r="Q774" s="77" t="n"/>
      <c r="R774" s="77" t="n"/>
      <c r="S774" s="77" t="n"/>
      <c r="T774" s="77" t="n"/>
      <c r="U774" s="77" t="n"/>
    </row>
    <row r="775" ht="15.75" customHeight="1" s="360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  <c r="P775" s="77" t="n"/>
      <c r="Q775" s="77" t="n"/>
      <c r="R775" s="77" t="n"/>
      <c r="S775" s="77" t="n"/>
      <c r="T775" s="77" t="n"/>
      <c r="U775" s="77" t="n"/>
    </row>
    <row r="776" ht="15.75" customHeight="1" s="360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  <c r="O776" s="77" t="n"/>
      <c r="P776" s="77" t="n"/>
      <c r="Q776" s="77" t="n"/>
      <c r="R776" s="77" t="n"/>
      <c r="S776" s="77" t="n"/>
      <c r="T776" s="77" t="n"/>
      <c r="U776" s="77" t="n"/>
    </row>
    <row r="777" ht="15.75" customHeight="1" s="360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  <c r="P777" s="77" t="n"/>
      <c r="Q777" s="77" t="n"/>
      <c r="R777" s="77" t="n"/>
      <c r="S777" s="77" t="n"/>
      <c r="T777" s="77" t="n"/>
      <c r="U777" s="77" t="n"/>
    </row>
    <row r="778" ht="15.75" customHeight="1" s="360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  <c r="O778" s="77" t="n"/>
      <c r="P778" s="77" t="n"/>
      <c r="Q778" s="77" t="n"/>
      <c r="R778" s="77" t="n"/>
      <c r="S778" s="77" t="n"/>
      <c r="T778" s="77" t="n"/>
      <c r="U778" s="77" t="n"/>
    </row>
    <row r="779" ht="15.75" customHeight="1" s="360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  <c r="P779" s="77" t="n"/>
      <c r="Q779" s="77" t="n"/>
      <c r="R779" s="77" t="n"/>
      <c r="S779" s="77" t="n"/>
      <c r="T779" s="77" t="n"/>
      <c r="U779" s="77" t="n"/>
    </row>
    <row r="780" ht="15.75" customHeight="1" s="360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  <c r="O780" s="77" t="n"/>
      <c r="P780" s="77" t="n"/>
      <c r="Q780" s="77" t="n"/>
      <c r="R780" s="77" t="n"/>
      <c r="S780" s="77" t="n"/>
      <c r="T780" s="77" t="n"/>
      <c r="U780" s="77" t="n"/>
    </row>
    <row r="781" ht="15.75" customHeight="1" s="360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  <c r="P781" s="77" t="n"/>
      <c r="Q781" s="77" t="n"/>
      <c r="R781" s="77" t="n"/>
      <c r="S781" s="77" t="n"/>
      <c r="T781" s="77" t="n"/>
      <c r="U781" s="77" t="n"/>
    </row>
    <row r="782" ht="15.75" customHeight="1" s="360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  <c r="O782" s="77" t="n"/>
      <c r="P782" s="77" t="n"/>
      <c r="Q782" s="77" t="n"/>
      <c r="R782" s="77" t="n"/>
      <c r="S782" s="77" t="n"/>
      <c r="T782" s="77" t="n"/>
      <c r="U782" s="77" t="n"/>
    </row>
    <row r="783" ht="15.75" customHeight="1" s="360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  <c r="P783" s="77" t="n"/>
      <c r="Q783" s="77" t="n"/>
      <c r="R783" s="77" t="n"/>
      <c r="S783" s="77" t="n"/>
      <c r="T783" s="77" t="n"/>
      <c r="U783" s="77" t="n"/>
    </row>
    <row r="784" ht="15.75" customHeight="1" s="360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  <c r="O784" s="77" t="n"/>
      <c r="P784" s="77" t="n"/>
      <c r="Q784" s="77" t="n"/>
      <c r="R784" s="77" t="n"/>
      <c r="S784" s="77" t="n"/>
      <c r="T784" s="77" t="n"/>
      <c r="U784" s="77" t="n"/>
    </row>
    <row r="785" ht="15.75" customHeight="1" s="360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  <c r="P785" s="77" t="n"/>
      <c r="Q785" s="77" t="n"/>
      <c r="R785" s="77" t="n"/>
      <c r="S785" s="77" t="n"/>
      <c r="T785" s="77" t="n"/>
      <c r="U785" s="77" t="n"/>
    </row>
    <row r="786" ht="15.75" customHeight="1" s="360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  <c r="O786" s="77" t="n"/>
      <c r="P786" s="77" t="n"/>
      <c r="Q786" s="77" t="n"/>
      <c r="R786" s="77" t="n"/>
      <c r="S786" s="77" t="n"/>
      <c r="T786" s="77" t="n"/>
      <c r="U786" s="77" t="n"/>
    </row>
    <row r="787" ht="15.75" customHeight="1" s="360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  <c r="P787" s="77" t="n"/>
      <c r="Q787" s="77" t="n"/>
      <c r="R787" s="77" t="n"/>
      <c r="S787" s="77" t="n"/>
      <c r="T787" s="77" t="n"/>
      <c r="U787" s="77" t="n"/>
    </row>
    <row r="788" ht="15.75" customHeight="1" s="360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  <c r="O788" s="77" t="n"/>
      <c r="P788" s="77" t="n"/>
      <c r="Q788" s="77" t="n"/>
      <c r="R788" s="77" t="n"/>
      <c r="S788" s="77" t="n"/>
      <c r="T788" s="77" t="n"/>
      <c r="U788" s="77" t="n"/>
    </row>
    <row r="789" ht="15.75" customHeight="1" s="360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  <c r="P789" s="77" t="n"/>
      <c r="Q789" s="77" t="n"/>
      <c r="R789" s="77" t="n"/>
      <c r="S789" s="77" t="n"/>
      <c r="T789" s="77" t="n"/>
      <c r="U789" s="77" t="n"/>
    </row>
    <row r="790" ht="15.75" customHeight="1" s="360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  <c r="O790" s="77" t="n"/>
      <c r="P790" s="77" t="n"/>
      <c r="Q790" s="77" t="n"/>
      <c r="R790" s="77" t="n"/>
      <c r="S790" s="77" t="n"/>
      <c r="T790" s="77" t="n"/>
      <c r="U790" s="77" t="n"/>
    </row>
    <row r="791" ht="15.75" customHeight="1" s="360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  <c r="P791" s="77" t="n"/>
      <c r="Q791" s="77" t="n"/>
      <c r="R791" s="77" t="n"/>
      <c r="S791" s="77" t="n"/>
      <c r="T791" s="77" t="n"/>
      <c r="U791" s="77" t="n"/>
    </row>
    <row r="792" ht="15.75" customHeight="1" s="360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  <c r="O792" s="77" t="n"/>
      <c r="P792" s="77" t="n"/>
      <c r="Q792" s="77" t="n"/>
      <c r="R792" s="77" t="n"/>
      <c r="S792" s="77" t="n"/>
      <c r="T792" s="77" t="n"/>
      <c r="U792" s="77" t="n"/>
    </row>
    <row r="793" ht="15.75" customHeight="1" s="360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  <c r="P793" s="77" t="n"/>
      <c r="Q793" s="77" t="n"/>
      <c r="R793" s="77" t="n"/>
      <c r="S793" s="77" t="n"/>
      <c r="T793" s="77" t="n"/>
      <c r="U793" s="77" t="n"/>
    </row>
    <row r="794" ht="15.75" customHeight="1" s="360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  <c r="O794" s="77" t="n"/>
      <c r="P794" s="77" t="n"/>
      <c r="Q794" s="77" t="n"/>
      <c r="R794" s="77" t="n"/>
      <c r="S794" s="77" t="n"/>
      <c r="T794" s="77" t="n"/>
      <c r="U794" s="77" t="n"/>
    </row>
    <row r="795" ht="15.75" customHeight="1" s="360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  <c r="P795" s="77" t="n"/>
      <c r="Q795" s="77" t="n"/>
      <c r="R795" s="77" t="n"/>
      <c r="S795" s="77" t="n"/>
      <c r="T795" s="77" t="n"/>
      <c r="U795" s="77" t="n"/>
    </row>
    <row r="796" ht="15.75" customHeight="1" s="360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  <c r="O796" s="77" t="n"/>
      <c r="P796" s="77" t="n"/>
      <c r="Q796" s="77" t="n"/>
      <c r="R796" s="77" t="n"/>
      <c r="S796" s="77" t="n"/>
      <c r="T796" s="77" t="n"/>
      <c r="U796" s="77" t="n"/>
    </row>
    <row r="797" ht="15.75" customHeight="1" s="360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  <c r="P797" s="77" t="n"/>
      <c r="Q797" s="77" t="n"/>
      <c r="R797" s="77" t="n"/>
      <c r="S797" s="77" t="n"/>
      <c r="T797" s="77" t="n"/>
      <c r="U797" s="77" t="n"/>
    </row>
    <row r="798" ht="15.75" customHeight="1" s="360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  <c r="O798" s="77" t="n"/>
      <c r="P798" s="77" t="n"/>
      <c r="Q798" s="77" t="n"/>
      <c r="R798" s="77" t="n"/>
      <c r="S798" s="77" t="n"/>
      <c r="T798" s="77" t="n"/>
      <c r="U798" s="77" t="n"/>
    </row>
    <row r="799" ht="15.75" customHeight="1" s="360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  <c r="P799" s="77" t="n"/>
      <c r="Q799" s="77" t="n"/>
      <c r="R799" s="77" t="n"/>
      <c r="S799" s="77" t="n"/>
      <c r="T799" s="77" t="n"/>
      <c r="U799" s="77" t="n"/>
    </row>
    <row r="800" ht="15.75" customHeight="1" s="360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  <c r="O800" s="77" t="n"/>
      <c r="P800" s="77" t="n"/>
      <c r="Q800" s="77" t="n"/>
      <c r="R800" s="77" t="n"/>
      <c r="S800" s="77" t="n"/>
      <c r="T800" s="77" t="n"/>
      <c r="U800" s="77" t="n"/>
    </row>
    <row r="801" ht="15.75" customHeight="1" s="360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  <c r="P801" s="77" t="n"/>
      <c r="Q801" s="77" t="n"/>
      <c r="R801" s="77" t="n"/>
      <c r="S801" s="77" t="n"/>
      <c r="T801" s="77" t="n"/>
      <c r="U801" s="77" t="n"/>
    </row>
    <row r="802" ht="15.75" customHeight="1" s="360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  <c r="O802" s="77" t="n"/>
      <c r="P802" s="77" t="n"/>
      <c r="Q802" s="77" t="n"/>
      <c r="R802" s="77" t="n"/>
      <c r="S802" s="77" t="n"/>
      <c r="T802" s="77" t="n"/>
      <c r="U802" s="77" t="n"/>
    </row>
    <row r="803" ht="15.75" customHeight="1" s="360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  <c r="P803" s="77" t="n"/>
      <c r="Q803" s="77" t="n"/>
      <c r="R803" s="77" t="n"/>
      <c r="S803" s="77" t="n"/>
      <c r="T803" s="77" t="n"/>
      <c r="U803" s="77" t="n"/>
    </row>
    <row r="804" ht="15.75" customHeight="1" s="360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  <c r="O804" s="77" t="n"/>
      <c r="P804" s="77" t="n"/>
      <c r="Q804" s="77" t="n"/>
      <c r="R804" s="77" t="n"/>
      <c r="S804" s="77" t="n"/>
      <c r="T804" s="77" t="n"/>
      <c r="U804" s="77" t="n"/>
    </row>
    <row r="805" ht="15.75" customHeight="1" s="360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  <c r="P805" s="77" t="n"/>
      <c r="Q805" s="77" t="n"/>
      <c r="R805" s="77" t="n"/>
      <c r="S805" s="77" t="n"/>
      <c r="T805" s="77" t="n"/>
      <c r="U805" s="77" t="n"/>
    </row>
    <row r="806" ht="15.75" customHeight="1" s="360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  <c r="O806" s="77" t="n"/>
      <c r="P806" s="77" t="n"/>
      <c r="Q806" s="77" t="n"/>
      <c r="R806" s="77" t="n"/>
      <c r="S806" s="77" t="n"/>
      <c r="T806" s="77" t="n"/>
      <c r="U806" s="77" t="n"/>
    </row>
    <row r="807" ht="15.75" customHeight="1" s="360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  <c r="P807" s="77" t="n"/>
      <c r="Q807" s="77" t="n"/>
      <c r="R807" s="77" t="n"/>
      <c r="S807" s="77" t="n"/>
      <c r="T807" s="77" t="n"/>
      <c r="U807" s="77" t="n"/>
    </row>
    <row r="808" ht="15.75" customHeight="1" s="360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  <c r="O808" s="77" t="n"/>
      <c r="P808" s="77" t="n"/>
      <c r="Q808" s="77" t="n"/>
      <c r="R808" s="77" t="n"/>
      <c r="S808" s="77" t="n"/>
      <c r="T808" s="77" t="n"/>
      <c r="U808" s="77" t="n"/>
    </row>
    <row r="809" ht="15.75" customHeight="1" s="360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  <c r="P809" s="77" t="n"/>
      <c r="Q809" s="77" t="n"/>
      <c r="R809" s="77" t="n"/>
      <c r="S809" s="77" t="n"/>
      <c r="T809" s="77" t="n"/>
      <c r="U809" s="77" t="n"/>
    </row>
    <row r="810" ht="15.75" customHeight="1" s="360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  <c r="O810" s="77" t="n"/>
      <c r="P810" s="77" t="n"/>
      <c r="Q810" s="77" t="n"/>
      <c r="R810" s="77" t="n"/>
      <c r="S810" s="77" t="n"/>
      <c r="T810" s="77" t="n"/>
      <c r="U810" s="77" t="n"/>
    </row>
    <row r="811" ht="15.75" customHeight="1" s="360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  <c r="P811" s="77" t="n"/>
      <c r="Q811" s="77" t="n"/>
      <c r="R811" s="77" t="n"/>
      <c r="S811" s="77" t="n"/>
      <c r="T811" s="77" t="n"/>
      <c r="U811" s="77" t="n"/>
    </row>
    <row r="812" ht="15.75" customHeight="1" s="360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  <c r="O812" s="77" t="n"/>
      <c r="P812" s="77" t="n"/>
      <c r="Q812" s="77" t="n"/>
      <c r="R812" s="77" t="n"/>
      <c r="S812" s="77" t="n"/>
      <c r="T812" s="77" t="n"/>
      <c r="U812" s="77" t="n"/>
    </row>
    <row r="813" ht="15.75" customHeight="1" s="360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  <c r="P813" s="77" t="n"/>
      <c r="Q813" s="77" t="n"/>
      <c r="R813" s="77" t="n"/>
      <c r="S813" s="77" t="n"/>
      <c r="T813" s="77" t="n"/>
      <c r="U813" s="77" t="n"/>
    </row>
    <row r="814" ht="15.75" customHeight="1" s="360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  <c r="O814" s="77" t="n"/>
      <c r="P814" s="77" t="n"/>
      <c r="Q814" s="77" t="n"/>
      <c r="R814" s="77" t="n"/>
      <c r="S814" s="77" t="n"/>
      <c r="T814" s="77" t="n"/>
      <c r="U814" s="77" t="n"/>
    </row>
    <row r="815" ht="15.75" customHeight="1" s="360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  <c r="P815" s="77" t="n"/>
      <c r="Q815" s="77" t="n"/>
      <c r="R815" s="77" t="n"/>
      <c r="S815" s="77" t="n"/>
      <c r="T815" s="77" t="n"/>
      <c r="U815" s="77" t="n"/>
    </row>
    <row r="816" ht="15.75" customHeight="1" s="360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  <c r="O816" s="77" t="n"/>
      <c r="P816" s="77" t="n"/>
      <c r="Q816" s="77" t="n"/>
      <c r="R816" s="77" t="n"/>
      <c r="S816" s="77" t="n"/>
      <c r="T816" s="77" t="n"/>
      <c r="U816" s="77" t="n"/>
    </row>
    <row r="817" ht="15.75" customHeight="1" s="360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  <c r="P817" s="77" t="n"/>
      <c r="Q817" s="77" t="n"/>
      <c r="R817" s="77" t="n"/>
      <c r="S817" s="77" t="n"/>
      <c r="T817" s="77" t="n"/>
      <c r="U817" s="77" t="n"/>
    </row>
    <row r="818" ht="15.75" customHeight="1" s="360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  <c r="O818" s="77" t="n"/>
      <c r="P818" s="77" t="n"/>
      <c r="Q818" s="77" t="n"/>
      <c r="R818" s="77" t="n"/>
      <c r="S818" s="77" t="n"/>
      <c r="T818" s="77" t="n"/>
      <c r="U818" s="77" t="n"/>
    </row>
    <row r="819" ht="15.75" customHeight="1" s="360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  <c r="P819" s="77" t="n"/>
      <c r="Q819" s="77" t="n"/>
      <c r="R819" s="77" t="n"/>
      <c r="S819" s="77" t="n"/>
      <c r="T819" s="77" t="n"/>
      <c r="U819" s="77" t="n"/>
    </row>
    <row r="820" ht="15.75" customHeight="1" s="360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  <c r="O820" s="77" t="n"/>
      <c r="P820" s="77" t="n"/>
      <c r="Q820" s="77" t="n"/>
      <c r="R820" s="77" t="n"/>
      <c r="S820" s="77" t="n"/>
      <c r="T820" s="77" t="n"/>
      <c r="U820" s="77" t="n"/>
    </row>
    <row r="821" ht="15.75" customHeight="1" s="360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  <c r="P821" s="77" t="n"/>
      <c r="Q821" s="77" t="n"/>
      <c r="R821" s="77" t="n"/>
      <c r="S821" s="77" t="n"/>
      <c r="T821" s="77" t="n"/>
      <c r="U821" s="77" t="n"/>
    </row>
    <row r="822" ht="15.75" customHeight="1" s="360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  <c r="O822" s="77" t="n"/>
      <c r="P822" s="77" t="n"/>
      <c r="Q822" s="77" t="n"/>
      <c r="R822" s="77" t="n"/>
      <c r="S822" s="77" t="n"/>
      <c r="T822" s="77" t="n"/>
      <c r="U822" s="77" t="n"/>
    </row>
    <row r="823" ht="15.75" customHeight="1" s="360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  <c r="P823" s="77" t="n"/>
      <c r="Q823" s="77" t="n"/>
      <c r="R823" s="77" t="n"/>
      <c r="S823" s="77" t="n"/>
      <c r="T823" s="77" t="n"/>
      <c r="U823" s="77" t="n"/>
    </row>
    <row r="824" ht="15.75" customHeight="1" s="360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  <c r="O824" s="77" t="n"/>
      <c r="P824" s="77" t="n"/>
      <c r="Q824" s="77" t="n"/>
      <c r="R824" s="77" t="n"/>
      <c r="S824" s="77" t="n"/>
      <c r="T824" s="77" t="n"/>
      <c r="U824" s="77" t="n"/>
    </row>
    <row r="825" ht="15.75" customHeight="1" s="360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  <c r="P825" s="77" t="n"/>
      <c r="Q825" s="77" t="n"/>
      <c r="R825" s="77" t="n"/>
      <c r="S825" s="77" t="n"/>
      <c r="T825" s="77" t="n"/>
      <c r="U825" s="77" t="n"/>
    </row>
    <row r="826" ht="15.75" customHeight="1" s="360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  <c r="O826" s="77" t="n"/>
      <c r="P826" s="77" t="n"/>
      <c r="Q826" s="77" t="n"/>
      <c r="R826" s="77" t="n"/>
      <c r="S826" s="77" t="n"/>
      <c r="T826" s="77" t="n"/>
      <c r="U826" s="77" t="n"/>
    </row>
    <row r="827" ht="15.75" customHeight="1" s="360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  <c r="P827" s="77" t="n"/>
      <c r="Q827" s="77" t="n"/>
      <c r="R827" s="77" t="n"/>
      <c r="S827" s="77" t="n"/>
      <c r="T827" s="77" t="n"/>
      <c r="U827" s="77" t="n"/>
    </row>
    <row r="828" ht="15.75" customHeight="1" s="360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  <c r="O828" s="77" t="n"/>
      <c r="P828" s="77" t="n"/>
      <c r="Q828" s="77" t="n"/>
      <c r="R828" s="77" t="n"/>
      <c r="S828" s="77" t="n"/>
      <c r="T828" s="77" t="n"/>
      <c r="U828" s="77" t="n"/>
    </row>
    <row r="829" ht="15.75" customHeight="1" s="360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  <c r="P829" s="77" t="n"/>
      <c r="Q829" s="77" t="n"/>
      <c r="R829" s="77" t="n"/>
      <c r="S829" s="77" t="n"/>
      <c r="T829" s="77" t="n"/>
      <c r="U829" s="77" t="n"/>
    </row>
    <row r="830" ht="15.75" customHeight="1" s="360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  <c r="O830" s="77" t="n"/>
      <c r="P830" s="77" t="n"/>
      <c r="Q830" s="77" t="n"/>
      <c r="R830" s="77" t="n"/>
      <c r="S830" s="77" t="n"/>
      <c r="T830" s="77" t="n"/>
      <c r="U830" s="77" t="n"/>
    </row>
    <row r="831" ht="15.75" customHeight="1" s="360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  <c r="P831" s="77" t="n"/>
      <c r="Q831" s="77" t="n"/>
      <c r="R831" s="77" t="n"/>
      <c r="S831" s="77" t="n"/>
      <c r="T831" s="77" t="n"/>
      <c r="U831" s="77" t="n"/>
    </row>
    <row r="832" ht="15.75" customHeight="1" s="360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  <c r="O832" s="77" t="n"/>
      <c r="P832" s="77" t="n"/>
      <c r="Q832" s="77" t="n"/>
      <c r="R832" s="77" t="n"/>
      <c r="S832" s="77" t="n"/>
      <c r="T832" s="77" t="n"/>
      <c r="U832" s="77" t="n"/>
    </row>
    <row r="833" ht="15.75" customHeight="1" s="360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  <c r="P833" s="77" t="n"/>
      <c r="Q833" s="77" t="n"/>
      <c r="R833" s="77" t="n"/>
      <c r="S833" s="77" t="n"/>
      <c r="T833" s="77" t="n"/>
      <c r="U833" s="77" t="n"/>
    </row>
    <row r="834" ht="15.75" customHeight="1" s="360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  <c r="O834" s="77" t="n"/>
      <c r="P834" s="77" t="n"/>
      <c r="Q834" s="77" t="n"/>
      <c r="R834" s="77" t="n"/>
      <c r="S834" s="77" t="n"/>
      <c r="T834" s="77" t="n"/>
      <c r="U834" s="77" t="n"/>
    </row>
    <row r="835" ht="15.75" customHeight="1" s="360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  <c r="P835" s="77" t="n"/>
      <c r="Q835" s="77" t="n"/>
      <c r="R835" s="77" t="n"/>
      <c r="S835" s="77" t="n"/>
      <c r="T835" s="77" t="n"/>
      <c r="U835" s="77" t="n"/>
    </row>
    <row r="836" ht="15.75" customHeight="1" s="360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  <c r="O836" s="77" t="n"/>
      <c r="P836" s="77" t="n"/>
      <c r="Q836" s="77" t="n"/>
      <c r="R836" s="77" t="n"/>
      <c r="S836" s="77" t="n"/>
      <c r="T836" s="77" t="n"/>
      <c r="U836" s="77" t="n"/>
    </row>
    <row r="837" ht="15.75" customHeight="1" s="360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  <c r="P837" s="77" t="n"/>
      <c r="Q837" s="77" t="n"/>
      <c r="R837" s="77" t="n"/>
      <c r="S837" s="77" t="n"/>
      <c r="T837" s="77" t="n"/>
      <c r="U837" s="77" t="n"/>
    </row>
    <row r="838" ht="15.75" customHeight="1" s="360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  <c r="O838" s="77" t="n"/>
      <c r="P838" s="77" t="n"/>
      <c r="Q838" s="77" t="n"/>
      <c r="R838" s="77" t="n"/>
      <c r="S838" s="77" t="n"/>
      <c r="T838" s="77" t="n"/>
      <c r="U838" s="77" t="n"/>
    </row>
    <row r="839" ht="15.75" customHeight="1" s="360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  <c r="P839" s="77" t="n"/>
      <c r="Q839" s="77" t="n"/>
      <c r="R839" s="77" t="n"/>
      <c r="S839" s="77" t="n"/>
      <c r="T839" s="77" t="n"/>
      <c r="U839" s="77" t="n"/>
    </row>
    <row r="840" ht="15.75" customHeight="1" s="360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  <c r="O840" s="77" t="n"/>
      <c r="P840" s="77" t="n"/>
      <c r="Q840" s="77" t="n"/>
      <c r="R840" s="77" t="n"/>
      <c r="S840" s="77" t="n"/>
      <c r="T840" s="77" t="n"/>
      <c r="U840" s="77" t="n"/>
    </row>
    <row r="841" ht="15.75" customHeight="1" s="360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  <c r="P841" s="77" t="n"/>
      <c r="Q841" s="77" t="n"/>
      <c r="R841" s="77" t="n"/>
      <c r="S841" s="77" t="n"/>
      <c r="T841" s="77" t="n"/>
      <c r="U841" s="77" t="n"/>
    </row>
    <row r="842" ht="15.75" customHeight="1" s="360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  <c r="O842" s="77" t="n"/>
      <c r="P842" s="77" t="n"/>
      <c r="Q842" s="77" t="n"/>
      <c r="R842" s="77" t="n"/>
      <c r="S842" s="77" t="n"/>
      <c r="T842" s="77" t="n"/>
      <c r="U842" s="77" t="n"/>
    </row>
    <row r="843" ht="15.75" customHeight="1" s="360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  <c r="P843" s="77" t="n"/>
      <c r="Q843" s="77" t="n"/>
      <c r="R843" s="77" t="n"/>
      <c r="S843" s="77" t="n"/>
      <c r="T843" s="77" t="n"/>
      <c r="U843" s="77" t="n"/>
    </row>
    <row r="844" ht="15.75" customHeight="1" s="360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  <c r="O844" s="77" t="n"/>
      <c r="P844" s="77" t="n"/>
      <c r="Q844" s="77" t="n"/>
      <c r="R844" s="77" t="n"/>
      <c r="S844" s="77" t="n"/>
      <c r="T844" s="77" t="n"/>
      <c r="U844" s="77" t="n"/>
    </row>
    <row r="845" ht="15.75" customHeight="1" s="360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  <c r="P845" s="77" t="n"/>
      <c r="Q845" s="77" t="n"/>
      <c r="R845" s="77" t="n"/>
      <c r="S845" s="77" t="n"/>
      <c r="T845" s="77" t="n"/>
      <c r="U845" s="77" t="n"/>
    </row>
    <row r="846" ht="15.75" customHeight="1" s="360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  <c r="O846" s="77" t="n"/>
      <c r="P846" s="77" t="n"/>
      <c r="Q846" s="77" t="n"/>
      <c r="R846" s="77" t="n"/>
      <c r="S846" s="77" t="n"/>
      <c r="T846" s="77" t="n"/>
      <c r="U846" s="77" t="n"/>
    </row>
    <row r="847" ht="15.75" customHeight="1" s="360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  <c r="P847" s="77" t="n"/>
      <c r="Q847" s="77" t="n"/>
      <c r="R847" s="77" t="n"/>
      <c r="S847" s="77" t="n"/>
      <c r="T847" s="77" t="n"/>
      <c r="U847" s="77" t="n"/>
    </row>
    <row r="848" ht="15.75" customHeight="1" s="360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  <c r="O848" s="77" t="n"/>
      <c r="P848" s="77" t="n"/>
      <c r="Q848" s="77" t="n"/>
      <c r="R848" s="77" t="n"/>
      <c r="S848" s="77" t="n"/>
      <c r="T848" s="77" t="n"/>
      <c r="U848" s="77" t="n"/>
    </row>
    <row r="849" ht="15.75" customHeight="1" s="360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  <c r="P849" s="77" t="n"/>
      <c r="Q849" s="77" t="n"/>
      <c r="R849" s="77" t="n"/>
      <c r="S849" s="77" t="n"/>
      <c r="T849" s="77" t="n"/>
      <c r="U849" s="77" t="n"/>
    </row>
    <row r="850" ht="15.75" customHeight="1" s="360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  <c r="O850" s="77" t="n"/>
      <c r="P850" s="77" t="n"/>
      <c r="Q850" s="77" t="n"/>
      <c r="R850" s="77" t="n"/>
      <c r="S850" s="77" t="n"/>
      <c r="T850" s="77" t="n"/>
      <c r="U850" s="77" t="n"/>
    </row>
    <row r="851" ht="15.75" customHeight="1" s="360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  <c r="P851" s="77" t="n"/>
      <c r="Q851" s="77" t="n"/>
      <c r="R851" s="77" t="n"/>
      <c r="S851" s="77" t="n"/>
      <c r="T851" s="77" t="n"/>
      <c r="U851" s="77" t="n"/>
    </row>
    <row r="852" ht="15.75" customHeight="1" s="360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  <c r="O852" s="77" t="n"/>
      <c r="P852" s="77" t="n"/>
      <c r="Q852" s="77" t="n"/>
      <c r="R852" s="77" t="n"/>
      <c r="S852" s="77" t="n"/>
      <c r="T852" s="77" t="n"/>
      <c r="U852" s="77" t="n"/>
    </row>
    <row r="853" ht="15.75" customHeight="1" s="360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  <c r="P853" s="77" t="n"/>
      <c r="Q853" s="77" t="n"/>
      <c r="R853" s="77" t="n"/>
      <c r="S853" s="77" t="n"/>
      <c r="T853" s="77" t="n"/>
      <c r="U853" s="77" t="n"/>
    </row>
    <row r="854" ht="15.75" customHeight="1" s="360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  <c r="O854" s="77" t="n"/>
      <c r="P854" s="77" t="n"/>
      <c r="Q854" s="77" t="n"/>
      <c r="R854" s="77" t="n"/>
      <c r="S854" s="77" t="n"/>
      <c r="T854" s="77" t="n"/>
      <c r="U854" s="77" t="n"/>
    </row>
    <row r="855" ht="15.75" customHeight="1" s="360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  <c r="P855" s="77" t="n"/>
      <c r="Q855" s="77" t="n"/>
      <c r="R855" s="77" t="n"/>
      <c r="S855" s="77" t="n"/>
      <c r="T855" s="77" t="n"/>
      <c r="U855" s="77" t="n"/>
    </row>
    <row r="856" ht="15.75" customHeight="1" s="360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  <c r="O856" s="77" t="n"/>
      <c r="P856" s="77" t="n"/>
      <c r="Q856" s="77" t="n"/>
      <c r="R856" s="77" t="n"/>
      <c r="S856" s="77" t="n"/>
      <c r="T856" s="77" t="n"/>
      <c r="U856" s="77" t="n"/>
    </row>
    <row r="857" ht="15.75" customHeight="1" s="360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  <c r="P857" s="77" t="n"/>
      <c r="Q857" s="77" t="n"/>
      <c r="R857" s="77" t="n"/>
      <c r="S857" s="77" t="n"/>
      <c r="T857" s="77" t="n"/>
      <c r="U857" s="77" t="n"/>
    </row>
    <row r="858" ht="15.75" customHeight="1" s="360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  <c r="O858" s="77" t="n"/>
      <c r="P858" s="77" t="n"/>
      <c r="Q858" s="77" t="n"/>
      <c r="R858" s="77" t="n"/>
      <c r="S858" s="77" t="n"/>
      <c r="T858" s="77" t="n"/>
      <c r="U858" s="77" t="n"/>
    </row>
    <row r="859" ht="15.75" customHeight="1" s="360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  <c r="P859" s="77" t="n"/>
      <c r="Q859" s="77" t="n"/>
      <c r="R859" s="77" t="n"/>
      <c r="S859" s="77" t="n"/>
      <c r="T859" s="77" t="n"/>
      <c r="U859" s="77" t="n"/>
    </row>
    <row r="860" ht="15.75" customHeight="1" s="360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  <c r="O860" s="77" t="n"/>
      <c r="P860" s="77" t="n"/>
      <c r="Q860" s="77" t="n"/>
      <c r="R860" s="77" t="n"/>
      <c r="S860" s="77" t="n"/>
      <c r="T860" s="77" t="n"/>
      <c r="U860" s="77" t="n"/>
    </row>
    <row r="861" ht="15.75" customHeight="1" s="360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  <c r="P861" s="77" t="n"/>
      <c r="Q861" s="77" t="n"/>
      <c r="R861" s="77" t="n"/>
      <c r="S861" s="77" t="n"/>
      <c r="T861" s="77" t="n"/>
      <c r="U861" s="77" t="n"/>
    </row>
    <row r="862" ht="15.75" customHeight="1" s="360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  <c r="O862" s="77" t="n"/>
      <c r="P862" s="77" t="n"/>
      <c r="Q862" s="77" t="n"/>
      <c r="R862" s="77" t="n"/>
      <c r="S862" s="77" t="n"/>
      <c r="T862" s="77" t="n"/>
      <c r="U862" s="77" t="n"/>
    </row>
    <row r="863" ht="15.75" customHeight="1" s="360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  <c r="P863" s="77" t="n"/>
      <c r="Q863" s="77" t="n"/>
      <c r="R863" s="77" t="n"/>
      <c r="S863" s="77" t="n"/>
      <c r="T863" s="77" t="n"/>
      <c r="U863" s="77" t="n"/>
    </row>
    <row r="864" ht="15.75" customHeight="1" s="360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  <c r="O864" s="77" t="n"/>
      <c r="P864" s="77" t="n"/>
      <c r="Q864" s="77" t="n"/>
      <c r="R864" s="77" t="n"/>
      <c r="S864" s="77" t="n"/>
      <c r="T864" s="77" t="n"/>
      <c r="U864" s="77" t="n"/>
    </row>
    <row r="865" ht="15.75" customHeight="1" s="360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  <c r="P865" s="77" t="n"/>
      <c r="Q865" s="77" t="n"/>
      <c r="R865" s="77" t="n"/>
      <c r="S865" s="77" t="n"/>
      <c r="T865" s="77" t="n"/>
      <c r="U865" s="77" t="n"/>
    </row>
    <row r="866" ht="15.75" customHeight="1" s="360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  <c r="O866" s="77" t="n"/>
      <c r="P866" s="77" t="n"/>
      <c r="Q866" s="77" t="n"/>
      <c r="R866" s="77" t="n"/>
      <c r="S866" s="77" t="n"/>
      <c r="T866" s="77" t="n"/>
      <c r="U866" s="77" t="n"/>
    </row>
    <row r="867" ht="15.75" customHeight="1" s="360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  <c r="P867" s="77" t="n"/>
      <c r="Q867" s="77" t="n"/>
      <c r="R867" s="77" t="n"/>
      <c r="S867" s="77" t="n"/>
      <c r="T867" s="77" t="n"/>
      <c r="U867" s="77" t="n"/>
    </row>
    <row r="868" ht="15.75" customHeight="1" s="360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  <c r="O868" s="77" t="n"/>
      <c r="P868" s="77" t="n"/>
      <c r="Q868" s="77" t="n"/>
      <c r="R868" s="77" t="n"/>
      <c r="S868" s="77" t="n"/>
      <c r="T868" s="77" t="n"/>
      <c r="U868" s="77" t="n"/>
    </row>
    <row r="869" ht="15.75" customHeight="1" s="360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  <c r="P869" s="77" t="n"/>
      <c r="Q869" s="77" t="n"/>
      <c r="R869" s="77" t="n"/>
      <c r="S869" s="77" t="n"/>
      <c r="T869" s="77" t="n"/>
      <c r="U869" s="77" t="n"/>
    </row>
    <row r="870" ht="15.75" customHeight="1" s="360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  <c r="O870" s="77" t="n"/>
      <c r="P870" s="77" t="n"/>
      <c r="Q870" s="77" t="n"/>
      <c r="R870" s="77" t="n"/>
      <c r="S870" s="77" t="n"/>
      <c r="T870" s="77" t="n"/>
      <c r="U870" s="77" t="n"/>
    </row>
    <row r="871" ht="15.75" customHeight="1" s="360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  <c r="P871" s="77" t="n"/>
      <c r="Q871" s="77" t="n"/>
      <c r="R871" s="77" t="n"/>
      <c r="S871" s="77" t="n"/>
      <c r="T871" s="77" t="n"/>
      <c r="U871" s="77" t="n"/>
    </row>
    <row r="872" ht="15.75" customHeight="1" s="360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  <c r="O872" s="77" t="n"/>
      <c r="P872" s="77" t="n"/>
      <c r="Q872" s="77" t="n"/>
      <c r="R872" s="77" t="n"/>
      <c r="S872" s="77" t="n"/>
      <c r="T872" s="77" t="n"/>
      <c r="U872" s="77" t="n"/>
    </row>
    <row r="873" ht="15.75" customHeight="1" s="360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  <c r="P873" s="77" t="n"/>
      <c r="Q873" s="77" t="n"/>
      <c r="R873" s="77" t="n"/>
      <c r="S873" s="77" t="n"/>
      <c r="T873" s="77" t="n"/>
      <c r="U873" s="77" t="n"/>
    </row>
    <row r="874" ht="15.75" customHeight="1" s="360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  <c r="O874" s="77" t="n"/>
      <c r="P874" s="77" t="n"/>
      <c r="Q874" s="77" t="n"/>
      <c r="R874" s="77" t="n"/>
      <c r="S874" s="77" t="n"/>
      <c r="T874" s="77" t="n"/>
      <c r="U874" s="77" t="n"/>
    </row>
    <row r="875" ht="15.75" customHeight="1" s="360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  <c r="P875" s="77" t="n"/>
      <c r="Q875" s="77" t="n"/>
      <c r="R875" s="77" t="n"/>
      <c r="S875" s="77" t="n"/>
      <c r="T875" s="77" t="n"/>
      <c r="U875" s="77" t="n"/>
    </row>
    <row r="876" ht="15.75" customHeight="1" s="360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  <c r="O876" s="77" t="n"/>
      <c r="P876" s="77" t="n"/>
      <c r="Q876" s="77" t="n"/>
      <c r="R876" s="77" t="n"/>
      <c r="S876" s="77" t="n"/>
      <c r="T876" s="77" t="n"/>
      <c r="U876" s="77" t="n"/>
    </row>
    <row r="877" ht="15.75" customHeight="1" s="360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  <c r="P877" s="77" t="n"/>
      <c r="Q877" s="77" t="n"/>
      <c r="R877" s="77" t="n"/>
      <c r="S877" s="77" t="n"/>
      <c r="T877" s="77" t="n"/>
      <c r="U877" s="77" t="n"/>
    </row>
    <row r="878" ht="15.75" customHeight="1" s="360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  <c r="O878" s="77" t="n"/>
      <c r="P878" s="77" t="n"/>
      <c r="Q878" s="77" t="n"/>
      <c r="R878" s="77" t="n"/>
      <c r="S878" s="77" t="n"/>
      <c r="T878" s="77" t="n"/>
      <c r="U878" s="77" t="n"/>
    </row>
    <row r="879" ht="15.75" customHeight="1" s="360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  <c r="P879" s="77" t="n"/>
      <c r="Q879" s="77" t="n"/>
      <c r="R879" s="77" t="n"/>
      <c r="S879" s="77" t="n"/>
      <c r="T879" s="77" t="n"/>
      <c r="U879" s="77" t="n"/>
    </row>
    <row r="880" ht="15.75" customHeight="1" s="360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  <c r="O880" s="77" t="n"/>
      <c r="P880" s="77" t="n"/>
      <c r="Q880" s="77" t="n"/>
      <c r="R880" s="77" t="n"/>
      <c r="S880" s="77" t="n"/>
      <c r="T880" s="77" t="n"/>
      <c r="U880" s="77" t="n"/>
    </row>
    <row r="881" ht="15.75" customHeight="1" s="360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  <c r="P881" s="77" t="n"/>
      <c r="Q881" s="77" t="n"/>
      <c r="R881" s="77" t="n"/>
      <c r="S881" s="77" t="n"/>
      <c r="T881" s="77" t="n"/>
      <c r="U881" s="77" t="n"/>
    </row>
    <row r="882" ht="15.75" customHeight="1" s="360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  <c r="O882" s="77" t="n"/>
      <c r="P882" s="77" t="n"/>
      <c r="Q882" s="77" t="n"/>
      <c r="R882" s="77" t="n"/>
      <c r="S882" s="77" t="n"/>
      <c r="T882" s="77" t="n"/>
      <c r="U882" s="77" t="n"/>
    </row>
    <row r="883" ht="15.75" customHeight="1" s="360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  <c r="P883" s="77" t="n"/>
      <c r="Q883" s="77" t="n"/>
      <c r="R883" s="77" t="n"/>
      <c r="S883" s="77" t="n"/>
      <c r="T883" s="77" t="n"/>
      <c r="U883" s="77" t="n"/>
    </row>
    <row r="884" ht="15.75" customHeight="1" s="360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  <c r="O884" s="77" t="n"/>
      <c r="P884" s="77" t="n"/>
      <c r="Q884" s="77" t="n"/>
      <c r="R884" s="77" t="n"/>
      <c r="S884" s="77" t="n"/>
      <c r="T884" s="77" t="n"/>
      <c r="U884" s="77" t="n"/>
    </row>
    <row r="885" ht="15.75" customHeight="1" s="360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  <c r="P885" s="77" t="n"/>
      <c r="Q885" s="77" t="n"/>
      <c r="R885" s="77" t="n"/>
      <c r="S885" s="77" t="n"/>
      <c r="T885" s="77" t="n"/>
      <c r="U885" s="77" t="n"/>
    </row>
    <row r="886" ht="15.75" customHeight="1" s="360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  <c r="O886" s="77" t="n"/>
      <c r="P886" s="77" t="n"/>
      <c r="Q886" s="77" t="n"/>
      <c r="R886" s="77" t="n"/>
      <c r="S886" s="77" t="n"/>
      <c r="T886" s="77" t="n"/>
      <c r="U886" s="77" t="n"/>
    </row>
    <row r="887" ht="15.75" customHeight="1" s="360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  <c r="P887" s="77" t="n"/>
      <c r="Q887" s="77" t="n"/>
      <c r="R887" s="77" t="n"/>
      <c r="S887" s="77" t="n"/>
      <c r="T887" s="77" t="n"/>
      <c r="U887" s="77" t="n"/>
    </row>
    <row r="888" ht="15.75" customHeight="1" s="360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  <c r="O888" s="77" t="n"/>
      <c r="P888" s="77" t="n"/>
      <c r="Q888" s="77" t="n"/>
      <c r="R888" s="77" t="n"/>
      <c r="S888" s="77" t="n"/>
      <c r="T888" s="77" t="n"/>
      <c r="U888" s="77" t="n"/>
    </row>
    <row r="889" ht="15.75" customHeight="1" s="360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  <c r="P889" s="77" t="n"/>
      <c r="Q889" s="77" t="n"/>
      <c r="R889" s="77" t="n"/>
      <c r="S889" s="77" t="n"/>
      <c r="T889" s="77" t="n"/>
      <c r="U889" s="77" t="n"/>
    </row>
    <row r="890" ht="15.75" customHeight="1" s="360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  <c r="O890" s="77" t="n"/>
      <c r="P890" s="77" t="n"/>
      <c r="Q890" s="77" t="n"/>
      <c r="R890" s="77" t="n"/>
      <c r="S890" s="77" t="n"/>
      <c r="T890" s="77" t="n"/>
      <c r="U890" s="77" t="n"/>
    </row>
    <row r="891" ht="15.75" customHeight="1" s="360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  <c r="P891" s="77" t="n"/>
      <c r="Q891" s="77" t="n"/>
      <c r="R891" s="77" t="n"/>
      <c r="S891" s="77" t="n"/>
      <c r="T891" s="77" t="n"/>
      <c r="U891" s="77" t="n"/>
    </row>
    <row r="892" ht="15.75" customHeight="1" s="360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  <c r="O892" s="77" t="n"/>
      <c r="P892" s="77" t="n"/>
      <c r="Q892" s="77" t="n"/>
      <c r="R892" s="77" t="n"/>
      <c r="S892" s="77" t="n"/>
      <c r="T892" s="77" t="n"/>
      <c r="U892" s="77" t="n"/>
    </row>
    <row r="893" ht="15.75" customHeight="1" s="360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  <c r="P893" s="77" t="n"/>
      <c r="Q893" s="77" t="n"/>
      <c r="R893" s="77" t="n"/>
      <c r="S893" s="77" t="n"/>
      <c r="T893" s="77" t="n"/>
      <c r="U893" s="77" t="n"/>
    </row>
    <row r="894" ht="15.75" customHeight="1" s="360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  <c r="O894" s="77" t="n"/>
      <c r="P894" s="77" t="n"/>
      <c r="Q894" s="77" t="n"/>
      <c r="R894" s="77" t="n"/>
      <c r="S894" s="77" t="n"/>
      <c r="T894" s="77" t="n"/>
      <c r="U894" s="77" t="n"/>
    </row>
    <row r="895" ht="15.75" customHeight="1" s="360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  <c r="P895" s="77" t="n"/>
      <c r="Q895" s="77" t="n"/>
      <c r="R895" s="77" t="n"/>
      <c r="S895" s="77" t="n"/>
      <c r="T895" s="77" t="n"/>
      <c r="U895" s="77" t="n"/>
    </row>
    <row r="896" ht="15.75" customHeight="1" s="360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  <c r="O896" s="77" t="n"/>
      <c r="P896" s="77" t="n"/>
      <c r="Q896" s="77" t="n"/>
      <c r="R896" s="77" t="n"/>
      <c r="S896" s="77" t="n"/>
      <c r="T896" s="77" t="n"/>
      <c r="U896" s="77" t="n"/>
    </row>
    <row r="897" ht="15.75" customHeight="1" s="360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  <c r="P897" s="77" t="n"/>
      <c r="Q897" s="77" t="n"/>
      <c r="R897" s="77" t="n"/>
      <c r="S897" s="77" t="n"/>
      <c r="T897" s="77" t="n"/>
      <c r="U897" s="77" t="n"/>
    </row>
    <row r="898" ht="15.75" customHeight="1" s="360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  <c r="O898" s="77" t="n"/>
      <c r="P898" s="77" t="n"/>
      <c r="Q898" s="77" t="n"/>
      <c r="R898" s="77" t="n"/>
      <c r="S898" s="77" t="n"/>
      <c r="T898" s="77" t="n"/>
      <c r="U898" s="77" t="n"/>
    </row>
    <row r="899" ht="15.75" customHeight="1" s="360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  <c r="P899" s="77" t="n"/>
      <c r="Q899" s="77" t="n"/>
      <c r="R899" s="77" t="n"/>
      <c r="S899" s="77" t="n"/>
      <c r="T899" s="77" t="n"/>
      <c r="U899" s="77" t="n"/>
    </row>
    <row r="900" ht="15.75" customHeight="1" s="360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  <c r="O900" s="77" t="n"/>
      <c r="P900" s="77" t="n"/>
      <c r="Q900" s="77" t="n"/>
      <c r="R900" s="77" t="n"/>
      <c r="S900" s="77" t="n"/>
      <c r="T900" s="77" t="n"/>
      <c r="U900" s="77" t="n"/>
    </row>
    <row r="901" ht="15.75" customHeight="1" s="360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  <c r="P901" s="77" t="n"/>
      <c r="Q901" s="77" t="n"/>
      <c r="R901" s="77" t="n"/>
      <c r="S901" s="77" t="n"/>
      <c r="T901" s="77" t="n"/>
      <c r="U901" s="77" t="n"/>
    </row>
    <row r="902" ht="15.75" customHeight="1" s="360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  <c r="O902" s="77" t="n"/>
      <c r="P902" s="77" t="n"/>
      <c r="Q902" s="77" t="n"/>
      <c r="R902" s="77" t="n"/>
      <c r="S902" s="77" t="n"/>
      <c r="T902" s="77" t="n"/>
      <c r="U902" s="77" t="n"/>
    </row>
    <row r="903" ht="15.75" customHeight="1" s="360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  <c r="P903" s="77" t="n"/>
      <c r="Q903" s="77" t="n"/>
      <c r="R903" s="77" t="n"/>
      <c r="S903" s="77" t="n"/>
      <c r="T903" s="77" t="n"/>
      <c r="U903" s="77" t="n"/>
    </row>
    <row r="904" ht="15.75" customHeight="1" s="360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  <c r="O904" s="77" t="n"/>
      <c r="P904" s="77" t="n"/>
      <c r="Q904" s="77" t="n"/>
      <c r="R904" s="77" t="n"/>
      <c r="S904" s="77" t="n"/>
      <c r="T904" s="77" t="n"/>
      <c r="U904" s="77" t="n"/>
    </row>
    <row r="905" ht="15.75" customHeight="1" s="360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  <c r="P905" s="77" t="n"/>
      <c r="Q905" s="77" t="n"/>
      <c r="R905" s="77" t="n"/>
      <c r="S905" s="77" t="n"/>
      <c r="T905" s="77" t="n"/>
      <c r="U905" s="77" t="n"/>
    </row>
    <row r="906" ht="15.75" customHeight="1" s="360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  <c r="O906" s="77" t="n"/>
      <c r="P906" s="77" t="n"/>
      <c r="Q906" s="77" t="n"/>
      <c r="R906" s="77" t="n"/>
      <c r="S906" s="77" t="n"/>
      <c r="T906" s="77" t="n"/>
      <c r="U906" s="77" t="n"/>
    </row>
    <row r="907" ht="15.75" customHeight="1" s="360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  <c r="P907" s="77" t="n"/>
      <c r="Q907" s="77" t="n"/>
      <c r="R907" s="77" t="n"/>
      <c r="S907" s="77" t="n"/>
      <c r="T907" s="77" t="n"/>
      <c r="U907" s="77" t="n"/>
    </row>
    <row r="908" ht="15.75" customHeight="1" s="360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  <c r="O908" s="77" t="n"/>
      <c r="P908" s="77" t="n"/>
      <c r="Q908" s="77" t="n"/>
      <c r="R908" s="77" t="n"/>
      <c r="S908" s="77" t="n"/>
      <c r="T908" s="77" t="n"/>
      <c r="U908" s="77" t="n"/>
    </row>
    <row r="909" ht="15.75" customHeight="1" s="360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  <c r="P909" s="77" t="n"/>
      <c r="Q909" s="77" t="n"/>
      <c r="R909" s="77" t="n"/>
      <c r="S909" s="77" t="n"/>
      <c r="T909" s="77" t="n"/>
      <c r="U909" s="77" t="n"/>
    </row>
    <row r="910" ht="15.75" customHeight="1" s="360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  <c r="O910" s="77" t="n"/>
      <c r="P910" s="77" t="n"/>
      <c r="Q910" s="77" t="n"/>
      <c r="R910" s="77" t="n"/>
      <c r="S910" s="77" t="n"/>
      <c r="T910" s="77" t="n"/>
      <c r="U910" s="77" t="n"/>
    </row>
    <row r="911" ht="15.75" customHeight="1" s="360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  <c r="P911" s="77" t="n"/>
      <c r="Q911" s="77" t="n"/>
      <c r="R911" s="77" t="n"/>
      <c r="S911" s="77" t="n"/>
      <c r="T911" s="77" t="n"/>
      <c r="U911" s="77" t="n"/>
    </row>
    <row r="912" ht="15.75" customHeight="1" s="360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  <c r="O912" s="77" t="n"/>
      <c r="P912" s="77" t="n"/>
      <c r="Q912" s="77" t="n"/>
      <c r="R912" s="77" t="n"/>
      <c r="S912" s="77" t="n"/>
      <c r="T912" s="77" t="n"/>
      <c r="U912" s="77" t="n"/>
    </row>
    <row r="913" ht="15.75" customHeight="1" s="360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  <c r="P913" s="77" t="n"/>
      <c r="Q913" s="77" t="n"/>
      <c r="R913" s="77" t="n"/>
      <c r="S913" s="77" t="n"/>
      <c r="T913" s="77" t="n"/>
      <c r="U913" s="77" t="n"/>
    </row>
    <row r="914" ht="15.75" customHeight="1" s="360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  <c r="O914" s="77" t="n"/>
      <c r="P914" s="77" t="n"/>
      <c r="Q914" s="77" t="n"/>
      <c r="R914" s="77" t="n"/>
      <c r="S914" s="77" t="n"/>
      <c r="T914" s="77" t="n"/>
      <c r="U914" s="77" t="n"/>
    </row>
    <row r="915" ht="15.75" customHeight="1" s="360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  <c r="P915" s="77" t="n"/>
      <c r="Q915" s="77" t="n"/>
      <c r="R915" s="77" t="n"/>
      <c r="S915" s="77" t="n"/>
      <c r="T915" s="77" t="n"/>
      <c r="U915" s="77" t="n"/>
    </row>
    <row r="916" ht="15.75" customHeight="1" s="360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  <c r="O916" s="77" t="n"/>
      <c r="P916" s="77" t="n"/>
      <c r="Q916" s="77" t="n"/>
      <c r="R916" s="77" t="n"/>
      <c r="S916" s="77" t="n"/>
      <c r="T916" s="77" t="n"/>
      <c r="U916" s="77" t="n"/>
    </row>
    <row r="917" ht="15.75" customHeight="1" s="360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  <c r="P917" s="77" t="n"/>
      <c r="Q917" s="77" t="n"/>
      <c r="R917" s="77" t="n"/>
      <c r="S917" s="77" t="n"/>
      <c r="T917" s="77" t="n"/>
      <c r="U917" s="77" t="n"/>
    </row>
    <row r="918" ht="15.75" customHeight="1" s="360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  <c r="O918" s="77" t="n"/>
      <c r="P918" s="77" t="n"/>
      <c r="Q918" s="77" t="n"/>
      <c r="R918" s="77" t="n"/>
      <c r="S918" s="77" t="n"/>
      <c r="T918" s="77" t="n"/>
      <c r="U918" s="77" t="n"/>
    </row>
    <row r="919" ht="15.75" customHeight="1" s="360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  <c r="P919" s="77" t="n"/>
      <c r="Q919" s="77" t="n"/>
      <c r="R919" s="77" t="n"/>
      <c r="S919" s="77" t="n"/>
      <c r="T919" s="77" t="n"/>
      <c r="U919" s="77" t="n"/>
    </row>
    <row r="920" ht="15.75" customHeight="1" s="360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  <c r="O920" s="77" t="n"/>
      <c r="P920" s="77" t="n"/>
      <c r="Q920" s="77" t="n"/>
      <c r="R920" s="77" t="n"/>
      <c r="S920" s="77" t="n"/>
      <c r="T920" s="77" t="n"/>
      <c r="U920" s="77" t="n"/>
    </row>
    <row r="921" ht="15.75" customHeight="1" s="360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  <c r="P921" s="77" t="n"/>
      <c r="Q921" s="77" t="n"/>
      <c r="R921" s="77" t="n"/>
      <c r="S921" s="77" t="n"/>
      <c r="T921" s="77" t="n"/>
      <c r="U921" s="77" t="n"/>
    </row>
    <row r="922" ht="15.75" customHeight="1" s="360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  <c r="O922" s="77" t="n"/>
      <c r="P922" s="77" t="n"/>
      <c r="Q922" s="77" t="n"/>
      <c r="R922" s="77" t="n"/>
      <c r="S922" s="77" t="n"/>
      <c r="T922" s="77" t="n"/>
      <c r="U922" s="77" t="n"/>
    </row>
    <row r="923" ht="15.75" customHeight="1" s="360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  <c r="P923" s="77" t="n"/>
      <c r="Q923" s="77" t="n"/>
      <c r="R923" s="77" t="n"/>
      <c r="S923" s="77" t="n"/>
      <c r="T923" s="77" t="n"/>
      <c r="U923" s="77" t="n"/>
    </row>
    <row r="924" ht="15.75" customHeight="1" s="360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  <c r="O924" s="77" t="n"/>
      <c r="P924" s="77" t="n"/>
      <c r="Q924" s="77" t="n"/>
      <c r="R924" s="77" t="n"/>
      <c r="S924" s="77" t="n"/>
      <c r="T924" s="77" t="n"/>
      <c r="U924" s="77" t="n"/>
    </row>
    <row r="925" ht="15.75" customHeight="1" s="360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  <c r="P925" s="77" t="n"/>
      <c r="Q925" s="77" t="n"/>
      <c r="R925" s="77" t="n"/>
      <c r="S925" s="77" t="n"/>
      <c r="T925" s="77" t="n"/>
      <c r="U925" s="77" t="n"/>
    </row>
    <row r="926" ht="15.75" customHeight="1" s="360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  <c r="O926" s="77" t="n"/>
      <c r="P926" s="77" t="n"/>
      <c r="Q926" s="77" t="n"/>
      <c r="R926" s="77" t="n"/>
      <c r="S926" s="77" t="n"/>
      <c r="T926" s="77" t="n"/>
      <c r="U926" s="77" t="n"/>
    </row>
    <row r="927" ht="15.75" customHeight="1" s="360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  <c r="P927" s="77" t="n"/>
      <c r="Q927" s="77" t="n"/>
      <c r="R927" s="77" t="n"/>
      <c r="S927" s="77" t="n"/>
      <c r="T927" s="77" t="n"/>
      <c r="U927" s="77" t="n"/>
    </row>
    <row r="928" ht="15.75" customHeight="1" s="360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  <c r="O928" s="77" t="n"/>
      <c r="P928" s="77" t="n"/>
      <c r="Q928" s="77" t="n"/>
      <c r="R928" s="77" t="n"/>
      <c r="S928" s="77" t="n"/>
      <c r="T928" s="77" t="n"/>
      <c r="U928" s="77" t="n"/>
    </row>
    <row r="929" ht="15.75" customHeight="1" s="360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  <c r="P929" s="77" t="n"/>
      <c r="Q929" s="77" t="n"/>
      <c r="R929" s="77" t="n"/>
      <c r="S929" s="77" t="n"/>
      <c r="T929" s="77" t="n"/>
      <c r="U929" s="77" t="n"/>
    </row>
    <row r="930" ht="15.75" customHeight="1" s="360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  <c r="O930" s="77" t="n"/>
      <c r="P930" s="77" t="n"/>
      <c r="Q930" s="77" t="n"/>
      <c r="R930" s="77" t="n"/>
      <c r="S930" s="77" t="n"/>
      <c r="T930" s="77" t="n"/>
      <c r="U930" s="77" t="n"/>
    </row>
    <row r="931" ht="15.75" customHeight="1" s="360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  <c r="P931" s="77" t="n"/>
      <c r="Q931" s="77" t="n"/>
      <c r="R931" s="77" t="n"/>
      <c r="S931" s="77" t="n"/>
      <c r="T931" s="77" t="n"/>
      <c r="U931" s="77" t="n"/>
    </row>
    <row r="932" ht="15.75" customHeight="1" s="360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  <c r="O932" s="77" t="n"/>
      <c r="P932" s="77" t="n"/>
      <c r="Q932" s="77" t="n"/>
      <c r="R932" s="77" t="n"/>
      <c r="S932" s="77" t="n"/>
      <c r="T932" s="77" t="n"/>
      <c r="U932" s="77" t="n"/>
    </row>
    <row r="933" ht="15.75" customHeight="1" s="360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  <c r="P933" s="77" t="n"/>
      <c r="Q933" s="77" t="n"/>
      <c r="R933" s="77" t="n"/>
      <c r="S933" s="77" t="n"/>
      <c r="T933" s="77" t="n"/>
      <c r="U933" s="77" t="n"/>
    </row>
    <row r="934" ht="15.75" customHeight="1" s="360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  <c r="O934" s="77" t="n"/>
      <c r="P934" s="77" t="n"/>
      <c r="Q934" s="77" t="n"/>
      <c r="R934" s="77" t="n"/>
      <c r="S934" s="77" t="n"/>
      <c r="T934" s="77" t="n"/>
      <c r="U934" s="77" t="n"/>
    </row>
    <row r="935" ht="15.75" customHeight="1" s="360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  <c r="P935" s="77" t="n"/>
      <c r="Q935" s="77" t="n"/>
      <c r="R935" s="77" t="n"/>
      <c r="S935" s="77" t="n"/>
      <c r="T935" s="77" t="n"/>
      <c r="U935" s="77" t="n"/>
    </row>
    <row r="936" ht="15.75" customHeight="1" s="360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  <c r="O936" s="77" t="n"/>
      <c r="P936" s="77" t="n"/>
      <c r="Q936" s="77" t="n"/>
      <c r="R936" s="77" t="n"/>
      <c r="S936" s="77" t="n"/>
      <c r="T936" s="77" t="n"/>
      <c r="U936" s="77" t="n"/>
    </row>
    <row r="937" ht="15.75" customHeight="1" s="360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  <c r="P937" s="77" t="n"/>
      <c r="Q937" s="77" t="n"/>
      <c r="R937" s="77" t="n"/>
      <c r="S937" s="77" t="n"/>
      <c r="T937" s="77" t="n"/>
      <c r="U937" s="77" t="n"/>
    </row>
    <row r="938" ht="15.75" customHeight="1" s="360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  <c r="O938" s="77" t="n"/>
      <c r="P938" s="77" t="n"/>
      <c r="Q938" s="77" t="n"/>
      <c r="R938" s="77" t="n"/>
      <c r="S938" s="77" t="n"/>
      <c r="T938" s="77" t="n"/>
      <c r="U938" s="77" t="n"/>
    </row>
    <row r="939" ht="15.75" customHeight="1" s="360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  <c r="P939" s="77" t="n"/>
      <c r="Q939" s="77" t="n"/>
      <c r="R939" s="77" t="n"/>
      <c r="S939" s="77" t="n"/>
      <c r="T939" s="77" t="n"/>
      <c r="U939" s="77" t="n"/>
    </row>
    <row r="940" ht="15.75" customHeight="1" s="360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  <c r="O940" s="77" t="n"/>
      <c r="P940" s="77" t="n"/>
      <c r="Q940" s="77" t="n"/>
      <c r="R940" s="77" t="n"/>
      <c r="S940" s="77" t="n"/>
      <c r="T940" s="77" t="n"/>
      <c r="U940" s="77" t="n"/>
    </row>
    <row r="941" ht="15.75" customHeight="1" s="360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  <c r="P941" s="77" t="n"/>
      <c r="Q941" s="77" t="n"/>
      <c r="R941" s="77" t="n"/>
      <c r="S941" s="77" t="n"/>
      <c r="T941" s="77" t="n"/>
      <c r="U941" s="77" t="n"/>
    </row>
    <row r="942" ht="15.75" customHeight="1" s="360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  <c r="O942" s="77" t="n"/>
      <c r="P942" s="77" t="n"/>
      <c r="Q942" s="77" t="n"/>
      <c r="R942" s="77" t="n"/>
      <c r="S942" s="77" t="n"/>
      <c r="T942" s="77" t="n"/>
      <c r="U942" s="77" t="n"/>
    </row>
    <row r="943" ht="15.75" customHeight="1" s="360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  <c r="P943" s="77" t="n"/>
      <c r="Q943" s="77" t="n"/>
      <c r="R943" s="77" t="n"/>
      <c r="S943" s="77" t="n"/>
      <c r="T943" s="77" t="n"/>
      <c r="U943" s="77" t="n"/>
    </row>
    <row r="944" ht="15.75" customHeight="1" s="360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  <c r="O944" s="77" t="n"/>
      <c r="P944" s="77" t="n"/>
      <c r="Q944" s="77" t="n"/>
      <c r="R944" s="77" t="n"/>
      <c r="S944" s="77" t="n"/>
      <c r="T944" s="77" t="n"/>
      <c r="U944" s="77" t="n"/>
    </row>
    <row r="945" ht="15.75" customHeight="1" s="360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  <c r="P945" s="77" t="n"/>
      <c r="Q945" s="77" t="n"/>
      <c r="R945" s="77" t="n"/>
      <c r="S945" s="77" t="n"/>
      <c r="T945" s="77" t="n"/>
      <c r="U945" s="77" t="n"/>
    </row>
    <row r="946" ht="15.75" customHeight="1" s="360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  <c r="O946" s="77" t="n"/>
      <c r="P946" s="77" t="n"/>
      <c r="Q946" s="77" t="n"/>
      <c r="R946" s="77" t="n"/>
      <c r="S946" s="77" t="n"/>
      <c r="T946" s="77" t="n"/>
      <c r="U946" s="77" t="n"/>
    </row>
    <row r="947" ht="15.75" customHeight="1" s="360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  <c r="P947" s="77" t="n"/>
      <c r="Q947" s="77" t="n"/>
      <c r="R947" s="77" t="n"/>
      <c r="S947" s="77" t="n"/>
      <c r="T947" s="77" t="n"/>
      <c r="U947" s="77" t="n"/>
    </row>
    <row r="948" ht="15.75" customHeight="1" s="360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  <c r="O948" s="77" t="n"/>
      <c r="P948" s="77" t="n"/>
      <c r="Q948" s="77" t="n"/>
      <c r="R948" s="77" t="n"/>
      <c r="S948" s="77" t="n"/>
      <c r="T948" s="77" t="n"/>
      <c r="U948" s="77" t="n"/>
    </row>
    <row r="949" ht="15.75" customHeight="1" s="360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  <c r="P949" s="77" t="n"/>
      <c r="Q949" s="77" t="n"/>
      <c r="R949" s="77" t="n"/>
      <c r="S949" s="77" t="n"/>
      <c r="T949" s="77" t="n"/>
      <c r="U949" s="77" t="n"/>
    </row>
    <row r="950" ht="15.75" customHeight="1" s="360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  <c r="O950" s="77" t="n"/>
      <c r="P950" s="77" t="n"/>
      <c r="Q950" s="77" t="n"/>
      <c r="R950" s="77" t="n"/>
      <c r="S950" s="77" t="n"/>
      <c r="T950" s="77" t="n"/>
      <c r="U950" s="77" t="n"/>
    </row>
    <row r="951" ht="15.75" customHeight="1" s="360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  <c r="P951" s="77" t="n"/>
      <c r="Q951" s="77" t="n"/>
      <c r="R951" s="77" t="n"/>
      <c r="S951" s="77" t="n"/>
      <c r="T951" s="77" t="n"/>
      <c r="U951" s="77" t="n"/>
    </row>
    <row r="952" ht="15.75" customHeight="1" s="360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  <c r="O952" s="77" t="n"/>
      <c r="P952" s="77" t="n"/>
      <c r="Q952" s="77" t="n"/>
      <c r="R952" s="77" t="n"/>
      <c r="S952" s="77" t="n"/>
      <c r="T952" s="77" t="n"/>
      <c r="U952" s="77" t="n"/>
    </row>
    <row r="953" ht="15.75" customHeight="1" s="360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  <c r="P953" s="77" t="n"/>
      <c r="Q953" s="77" t="n"/>
      <c r="R953" s="77" t="n"/>
      <c r="S953" s="77" t="n"/>
      <c r="T953" s="77" t="n"/>
      <c r="U953" s="77" t="n"/>
    </row>
    <row r="954" ht="15.75" customHeight="1" s="360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  <c r="O954" s="77" t="n"/>
      <c r="P954" s="77" t="n"/>
      <c r="Q954" s="77" t="n"/>
      <c r="R954" s="77" t="n"/>
      <c r="S954" s="77" t="n"/>
      <c r="T954" s="77" t="n"/>
      <c r="U954" s="77" t="n"/>
    </row>
    <row r="955" ht="15.75" customHeight="1" s="360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  <c r="P955" s="77" t="n"/>
      <c r="Q955" s="77" t="n"/>
      <c r="R955" s="77" t="n"/>
      <c r="S955" s="77" t="n"/>
      <c r="T955" s="77" t="n"/>
      <c r="U955" s="77" t="n"/>
    </row>
    <row r="956" ht="15.75" customHeight="1" s="360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  <c r="O956" s="77" t="n"/>
      <c r="P956" s="77" t="n"/>
      <c r="Q956" s="77" t="n"/>
      <c r="R956" s="77" t="n"/>
      <c r="S956" s="77" t="n"/>
      <c r="T956" s="77" t="n"/>
      <c r="U956" s="77" t="n"/>
    </row>
    <row r="957" ht="15.75" customHeight="1" s="360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  <c r="P957" s="77" t="n"/>
      <c r="Q957" s="77" t="n"/>
      <c r="R957" s="77" t="n"/>
      <c r="S957" s="77" t="n"/>
      <c r="T957" s="77" t="n"/>
      <c r="U957" s="77" t="n"/>
    </row>
    <row r="958" ht="15.75" customHeight="1" s="360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  <c r="O958" s="77" t="n"/>
      <c r="P958" s="77" t="n"/>
      <c r="Q958" s="77" t="n"/>
      <c r="R958" s="77" t="n"/>
      <c r="S958" s="77" t="n"/>
      <c r="T958" s="77" t="n"/>
      <c r="U958" s="77" t="n"/>
    </row>
    <row r="959" ht="15.75" customHeight="1" s="360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  <c r="O959" s="77" t="n"/>
      <c r="P959" s="77" t="n"/>
      <c r="Q959" s="77" t="n"/>
      <c r="R959" s="77" t="n"/>
      <c r="S959" s="77" t="n"/>
      <c r="T959" s="77" t="n"/>
      <c r="U959" s="77" t="n"/>
    </row>
    <row r="960" ht="15.75" customHeight="1" s="360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  <c r="O960" s="77" t="n"/>
      <c r="P960" s="77" t="n"/>
      <c r="Q960" s="77" t="n"/>
      <c r="R960" s="77" t="n"/>
      <c r="S960" s="77" t="n"/>
      <c r="T960" s="77" t="n"/>
      <c r="U960" s="77" t="n"/>
    </row>
    <row r="961" ht="15.75" customHeight="1" s="360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  <c r="O961" s="77" t="n"/>
      <c r="P961" s="77" t="n"/>
      <c r="Q961" s="77" t="n"/>
      <c r="R961" s="77" t="n"/>
      <c r="S961" s="77" t="n"/>
      <c r="T961" s="77" t="n"/>
      <c r="U961" s="77" t="n"/>
    </row>
    <row r="962" ht="15.75" customHeight="1" s="360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  <c r="O962" s="77" t="n"/>
      <c r="P962" s="77" t="n"/>
      <c r="Q962" s="77" t="n"/>
      <c r="R962" s="77" t="n"/>
      <c r="S962" s="77" t="n"/>
      <c r="T962" s="77" t="n"/>
      <c r="U962" s="77" t="n"/>
    </row>
    <row r="963" ht="15.75" customHeight="1" s="360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  <c r="O963" s="77" t="n"/>
      <c r="P963" s="77" t="n"/>
      <c r="Q963" s="77" t="n"/>
      <c r="R963" s="77" t="n"/>
      <c r="S963" s="77" t="n"/>
      <c r="T963" s="77" t="n"/>
      <c r="U963" s="77" t="n"/>
    </row>
    <row r="964" ht="15.75" customHeight="1" s="360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  <c r="O964" s="77" t="n"/>
      <c r="P964" s="77" t="n"/>
      <c r="Q964" s="77" t="n"/>
      <c r="R964" s="77" t="n"/>
      <c r="S964" s="77" t="n"/>
      <c r="T964" s="77" t="n"/>
      <c r="U964" s="77" t="n"/>
    </row>
    <row r="965" ht="15.75" customHeight="1" s="360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  <c r="O965" s="77" t="n"/>
      <c r="P965" s="77" t="n"/>
      <c r="Q965" s="77" t="n"/>
      <c r="R965" s="77" t="n"/>
      <c r="S965" s="77" t="n"/>
      <c r="T965" s="77" t="n"/>
      <c r="U965" s="77" t="n"/>
    </row>
    <row r="966" ht="15.75" customHeight="1" s="360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  <c r="O966" s="77" t="n"/>
      <c r="P966" s="77" t="n"/>
      <c r="Q966" s="77" t="n"/>
      <c r="R966" s="77" t="n"/>
      <c r="S966" s="77" t="n"/>
      <c r="T966" s="77" t="n"/>
      <c r="U966" s="77" t="n"/>
    </row>
    <row r="967" ht="15.75" customHeight="1" s="360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  <c r="O967" s="77" t="n"/>
      <c r="P967" s="77" t="n"/>
      <c r="Q967" s="77" t="n"/>
      <c r="R967" s="77" t="n"/>
      <c r="S967" s="77" t="n"/>
      <c r="T967" s="77" t="n"/>
      <c r="U967" s="77" t="n"/>
    </row>
    <row r="968" ht="15.75" customHeight="1" s="360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  <c r="O968" s="77" t="n"/>
      <c r="P968" s="77" t="n"/>
      <c r="Q968" s="77" t="n"/>
      <c r="R968" s="77" t="n"/>
      <c r="S968" s="77" t="n"/>
      <c r="T968" s="77" t="n"/>
      <c r="U968" s="77" t="n"/>
    </row>
    <row r="969" ht="15.75" customHeight="1" s="360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  <c r="O969" s="77" t="n"/>
      <c r="P969" s="77" t="n"/>
      <c r="Q969" s="77" t="n"/>
      <c r="R969" s="77" t="n"/>
      <c r="S969" s="77" t="n"/>
      <c r="T969" s="77" t="n"/>
      <c r="U969" s="77" t="n"/>
    </row>
    <row r="970" ht="15.75" customHeight="1" s="360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  <c r="O970" s="77" t="n"/>
      <c r="P970" s="77" t="n"/>
      <c r="Q970" s="77" t="n"/>
      <c r="R970" s="77" t="n"/>
      <c r="S970" s="77" t="n"/>
      <c r="T970" s="77" t="n"/>
      <c r="U970" s="77" t="n"/>
    </row>
    <row r="971" ht="15.75" customHeight="1" s="360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  <c r="O971" s="77" t="n"/>
      <c r="P971" s="77" t="n"/>
      <c r="Q971" s="77" t="n"/>
      <c r="R971" s="77" t="n"/>
      <c r="S971" s="77" t="n"/>
      <c r="T971" s="77" t="n"/>
      <c r="U971" s="77" t="n"/>
    </row>
    <row r="972" ht="15.75" customHeight="1" s="360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  <c r="O972" s="77" t="n"/>
      <c r="P972" s="77" t="n"/>
      <c r="Q972" s="77" t="n"/>
      <c r="R972" s="77" t="n"/>
      <c r="S972" s="77" t="n"/>
      <c r="T972" s="77" t="n"/>
      <c r="U972" s="77" t="n"/>
    </row>
    <row r="973" ht="15.75" customHeight="1" s="360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  <c r="O973" s="77" t="n"/>
      <c r="P973" s="77" t="n"/>
      <c r="Q973" s="77" t="n"/>
      <c r="R973" s="77" t="n"/>
      <c r="S973" s="77" t="n"/>
      <c r="T973" s="77" t="n"/>
      <c r="U973" s="77" t="n"/>
    </row>
    <row r="974" ht="15.75" customHeight="1" s="360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  <c r="O974" s="77" t="n"/>
      <c r="P974" s="77" t="n"/>
      <c r="Q974" s="77" t="n"/>
      <c r="R974" s="77" t="n"/>
      <c r="S974" s="77" t="n"/>
      <c r="T974" s="77" t="n"/>
      <c r="U974" s="77" t="n"/>
    </row>
    <row r="975" ht="15.75" customHeight="1" s="360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  <c r="O975" s="77" t="n"/>
      <c r="P975" s="77" t="n"/>
      <c r="Q975" s="77" t="n"/>
      <c r="R975" s="77" t="n"/>
      <c r="S975" s="77" t="n"/>
      <c r="T975" s="77" t="n"/>
      <c r="U975" s="77" t="n"/>
    </row>
    <row r="976" ht="15.75" customHeight="1" s="360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  <c r="O976" s="77" t="n"/>
      <c r="P976" s="77" t="n"/>
      <c r="Q976" s="77" t="n"/>
      <c r="R976" s="77" t="n"/>
      <c r="S976" s="77" t="n"/>
      <c r="T976" s="77" t="n"/>
      <c r="U976" s="77" t="n"/>
    </row>
    <row r="977" ht="15.75" customHeight="1" s="360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  <c r="O977" s="77" t="n"/>
      <c r="P977" s="77" t="n"/>
      <c r="Q977" s="77" t="n"/>
      <c r="R977" s="77" t="n"/>
      <c r="S977" s="77" t="n"/>
      <c r="T977" s="77" t="n"/>
      <c r="U977" s="77" t="n"/>
    </row>
    <row r="978" ht="15.75" customHeight="1" s="360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  <c r="O978" s="77" t="n"/>
      <c r="P978" s="77" t="n"/>
      <c r="Q978" s="77" t="n"/>
      <c r="R978" s="77" t="n"/>
      <c r="S978" s="77" t="n"/>
      <c r="T978" s="77" t="n"/>
      <c r="U978" s="77" t="n"/>
    </row>
    <row r="979" ht="15.75" customHeight="1" s="360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  <c r="O979" s="77" t="n"/>
      <c r="P979" s="77" t="n"/>
      <c r="Q979" s="77" t="n"/>
      <c r="R979" s="77" t="n"/>
      <c r="S979" s="77" t="n"/>
      <c r="T979" s="77" t="n"/>
      <c r="U979" s="77" t="n"/>
    </row>
    <row r="980" ht="15.75" customHeight="1" s="360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  <c r="O980" s="77" t="n"/>
      <c r="P980" s="77" t="n"/>
      <c r="Q980" s="77" t="n"/>
      <c r="R980" s="77" t="n"/>
      <c r="S980" s="77" t="n"/>
      <c r="T980" s="77" t="n"/>
      <c r="U980" s="77" t="n"/>
    </row>
    <row r="981" ht="15.75" customHeight="1" s="360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  <c r="O981" s="77" t="n"/>
      <c r="P981" s="77" t="n"/>
      <c r="Q981" s="77" t="n"/>
      <c r="R981" s="77" t="n"/>
      <c r="S981" s="77" t="n"/>
      <c r="T981" s="77" t="n"/>
      <c r="U981" s="77" t="n"/>
    </row>
    <row r="982" ht="15.75" customHeight="1" s="360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  <c r="O982" s="77" t="n"/>
      <c r="P982" s="77" t="n"/>
      <c r="Q982" s="77" t="n"/>
      <c r="R982" s="77" t="n"/>
      <c r="S982" s="77" t="n"/>
      <c r="T982" s="77" t="n"/>
      <c r="U982" s="77" t="n"/>
    </row>
    <row r="983" ht="15.75" customHeight="1" s="360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  <c r="O983" s="77" t="n"/>
      <c r="P983" s="77" t="n"/>
      <c r="Q983" s="77" t="n"/>
      <c r="R983" s="77" t="n"/>
      <c r="S983" s="77" t="n"/>
      <c r="T983" s="77" t="n"/>
      <c r="U983" s="77" t="n"/>
    </row>
    <row r="984" ht="15.75" customHeight="1" s="360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  <c r="O984" s="77" t="n"/>
      <c r="P984" s="77" t="n"/>
      <c r="Q984" s="77" t="n"/>
      <c r="R984" s="77" t="n"/>
      <c r="S984" s="77" t="n"/>
      <c r="T984" s="77" t="n"/>
      <c r="U984" s="77" t="n"/>
    </row>
    <row r="985" ht="15.75" customHeight="1" s="360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  <c r="O985" s="77" t="n"/>
      <c r="P985" s="77" t="n"/>
      <c r="Q985" s="77" t="n"/>
      <c r="R985" s="77" t="n"/>
      <c r="S985" s="77" t="n"/>
      <c r="T985" s="77" t="n"/>
      <c r="U985" s="77" t="n"/>
    </row>
    <row r="986" ht="15.75" customHeight="1" s="360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  <c r="O986" s="77" t="n"/>
      <c r="P986" s="77" t="n"/>
      <c r="Q986" s="77" t="n"/>
      <c r="R986" s="77" t="n"/>
      <c r="S986" s="77" t="n"/>
      <c r="T986" s="77" t="n"/>
      <c r="U986" s="77" t="n"/>
    </row>
    <row r="987" ht="15.75" customHeight="1" s="360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  <c r="O987" s="77" t="n"/>
      <c r="P987" s="77" t="n"/>
      <c r="Q987" s="77" t="n"/>
      <c r="R987" s="77" t="n"/>
      <c r="S987" s="77" t="n"/>
      <c r="T987" s="77" t="n"/>
      <c r="U987" s="77" t="n"/>
    </row>
    <row r="988" ht="15.75" customHeight="1" s="360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  <c r="O988" s="77" t="n"/>
      <c r="P988" s="77" t="n"/>
      <c r="Q988" s="77" t="n"/>
      <c r="R988" s="77" t="n"/>
      <c r="S988" s="77" t="n"/>
      <c r="T988" s="77" t="n"/>
      <c r="U988" s="77" t="n"/>
    </row>
    <row r="989" ht="15.75" customHeight="1" s="360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  <c r="O989" s="77" t="n"/>
      <c r="P989" s="77" t="n"/>
      <c r="Q989" s="77" t="n"/>
      <c r="R989" s="77" t="n"/>
      <c r="S989" s="77" t="n"/>
      <c r="T989" s="77" t="n"/>
      <c r="U989" s="77" t="n"/>
    </row>
    <row r="990" ht="15.75" customHeight="1" s="360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  <c r="O990" s="77" t="n"/>
      <c r="P990" s="77" t="n"/>
      <c r="Q990" s="77" t="n"/>
      <c r="R990" s="77" t="n"/>
      <c r="S990" s="77" t="n"/>
      <c r="T990" s="77" t="n"/>
      <c r="U990" s="77" t="n"/>
    </row>
    <row r="991" ht="15.75" customHeight="1" s="360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  <c r="O991" s="77" t="n"/>
      <c r="P991" s="77" t="n"/>
      <c r="Q991" s="77" t="n"/>
      <c r="R991" s="77" t="n"/>
      <c r="S991" s="77" t="n"/>
      <c r="T991" s="77" t="n"/>
      <c r="U991" s="77" t="n"/>
    </row>
    <row r="992" ht="15.75" customHeight="1" s="360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  <c r="O992" s="77" t="n"/>
      <c r="P992" s="77" t="n"/>
      <c r="Q992" s="77" t="n"/>
      <c r="R992" s="77" t="n"/>
      <c r="S992" s="77" t="n"/>
      <c r="T992" s="77" t="n"/>
      <c r="U992" s="77" t="n"/>
    </row>
    <row r="993" ht="15.75" customHeight="1" s="360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  <c r="O993" s="77" t="n"/>
      <c r="P993" s="77" t="n"/>
      <c r="Q993" s="77" t="n"/>
      <c r="R993" s="77" t="n"/>
      <c r="S993" s="77" t="n"/>
      <c r="T993" s="77" t="n"/>
      <c r="U993" s="77" t="n"/>
    </row>
    <row r="994" ht="15.75" customHeight="1" s="360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  <c r="O994" s="77" t="n"/>
      <c r="P994" s="77" t="n"/>
      <c r="Q994" s="77" t="n"/>
      <c r="R994" s="77" t="n"/>
      <c r="S994" s="77" t="n"/>
      <c r="T994" s="77" t="n"/>
      <c r="U994" s="77" t="n"/>
    </row>
    <row r="995" ht="15.75" customHeight="1" s="360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  <c r="O995" s="77" t="n"/>
      <c r="P995" s="77" t="n"/>
      <c r="Q995" s="77" t="n"/>
      <c r="R995" s="77" t="n"/>
      <c r="S995" s="77" t="n"/>
      <c r="T995" s="77" t="n"/>
      <c r="U995" s="77" t="n"/>
    </row>
    <row r="996" ht="15.75" customHeight="1" s="360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  <c r="O996" s="77" t="n"/>
      <c r="P996" s="77" t="n"/>
      <c r="Q996" s="77" t="n"/>
      <c r="R996" s="77" t="n"/>
      <c r="S996" s="77" t="n"/>
      <c r="T996" s="77" t="n"/>
      <c r="U996" s="77" t="n"/>
    </row>
    <row r="997" ht="15.75" customHeight="1" s="360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  <c r="O997" s="77" t="n"/>
      <c r="P997" s="77" t="n"/>
      <c r="Q997" s="77" t="n"/>
      <c r="R997" s="77" t="n"/>
      <c r="S997" s="77" t="n"/>
      <c r="T997" s="77" t="n"/>
      <c r="U997" s="77" t="n"/>
    </row>
    <row r="998" ht="15.75" customHeight="1" s="360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  <c r="O998" s="77" t="n"/>
      <c r="P998" s="77" t="n"/>
      <c r="Q998" s="77" t="n"/>
      <c r="R998" s="77" t="n"/>
      <c r="S998" s="77" t="n"/>
      <c r="T998" s="77" t="n"/>
      <c r="U998" s="77" t="n"/>
    </row>
    <row r="999" ht="15.75" customHeight="1" s="360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  <c r="O999" s="77" t="n"/>
      <c r="P999" s="77" t="n"/>
      <c r="Q999" s="77" t="n"/>
      <c r="R999" s="77" t="n"/>
      <c r="S999" s="77" t="n"/>
      <c r="T999" s="77" t="n"/>
      <c r="U999" s="77" t="n"/>
    </row>
    <row r="1000" ht="15.75" customHeight="1" s="360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  <c r="O1000" s="77" t="n"/>
      <c r="P1000" s="77" t="n"/>
      <c r="Q1000" s="77" t="n"/>
      <c r="R1000" s="77" t="n"/>
      <c r="S1000" s="77" t="n"/>
      <c r="T1000" s="77" t="n"/>
      <c r="U1000" s="77" t="n"/>
    </row>
  </sheetData>
  <mergeCells count="221">
    <mergeCell ref="I72:K72"/>
    <mergeCell ref="C6:D6"/>
    <mergeCell ref="O65:Q65"/>
    <mergeCell ref="N20:O20"/>
    <mergeCell ref="O6:P6"/>
    <mergeCell ref="B3:F3"/>
    <mergeCell ref="H41:L41"/>
    <mergeCell ref="J28:K28"/>
    <mergeCell ref="D31:E31"/>
    <mergeCell ref="N51:R51"/>
    <mergeCell ref="B36:E36"/>
    <mergeCell ref="B29:B30"/>
    <mergeCell ref="N49:Q49"/>
    <mergeCell ref="C60:E60"/>
    <mergeCell ref="H74:L74"/>
    <mergeCell ref="B45:E45"/>
    <mergeCell ref="H56:L56"/>
    <mergeCell ref="N36:Q36"/>
    <mergeCell ref="B2:F2"/>
    <mergeCell ref="O62:Q62"/>
    <mergeCell ref="H53:K53"/>
    <mergeCell ref="O7:R7"/>
    <mergeCell ref="B42:F42"/>
    <mergeCell ref="N2:R2"/>
    <mergeCell ref="B14:C14"/>
    <mergeCell ref="H49:L49"/>
    <mergeCell ref="N42:R42"/>
    <mergeCell ref="H67:K67"/>
    <mergeCell ref="I73:K73"/>
    <mergeCell ref="B47:E47"/>
    <mergeCell ref="N14:O14"/>
    <mergeCell ref="H55:K55"/>
    <mergeCell ref="B13:C13"/>
    <mergeCell ref="H2:L2"/>
    <mergeCell ref="N53:Q53"/>
    <mergeCell ref="H35:H39"/>
    <mergeCell ref="N67:R67"/>
    <mergeCell ref="P32:Q32"/>
    <mergeCell ref="B39:E39"/>
    <mergeCell ref="I76:L76"/>
    <mergeCell ref="N46:Q46"/>
    <mergeCell ref="H59:K59"/>
    <mergeCell ref="J31:K31"/>
    <mergeCell ref="H75:L75"/>
    <mergeCell ref="H13:I13"/>
    <mergeCell ref="H3:L3"/>
    <mergeCell ref="H52:K52"/>
    <mergeCell ref="H12:L12"/>
    <mergeCell ref="N15:O15"/>
    <mergeCell ref="N48:Q48"/>
    <mergeCell ref="H61:K61"/>
    <mergeCell ref="H15:I15"/>
    <mergeCell ref="B38:E38"/>
    <mergeCell ref="H45:K45"/>
    <mergeCell ref="N38:Q38"/>
    <mergeCell ref="D26:E26"/>
    <mergeCell ref="B40:E40"/>
    <mergeCell ref="P26:Q26"/>
    <mergeCell ref="B16:C16"/>
    <mergeCell ref="I6:J6"/>
    <mergeCell ref="B49:E49"/>
    <mergeCell ref="H65:K65"/>
    <mergeCell ref="I77:J77"/>
    <mergeCell ref="H47:K47"/>
    <mergeCell ref="N40:Q40"/>
    <mergeCell ref="O8:R8"/>
    <mergeCell ref="N16:O16"/>
    <mergeCell ref="C5:D5"/>
    <mergeCell ref="O11:R11"/>
    <mergeCell ref="N25:N28"/>
    <mergeCell ref="P25:Q25"/>
    <mergeCell ref="H62:K62"/>
    <mergeCell ref="B18:C18"/>
    <mergeCell ref="C4:D4"/>
    <mergeCell ref="B41:E41"/>
    <mergeCell ref="J34:K34"/>
    <mergeCell ref="B50:E50"/>
    <mergeCell ref="H21:L21"/>
    <mergeCell ref="C69:F69"/>
    <mergeCell ref="C61:E61"/>
    <mergeCell ref="O64:Q64"/>
    <mergeCell ref="O61:Q61"/>
    <mergeCell ref="J27:K27"/>
    <mergeCell ref="H54:K54"/>
    <mergeCell ref="J36:K36"/>
    <mergeCell ref="N29:N30"/>
    <mergeCell ref="N50:Q50"/>
    <mergeCell ref="H17:I17"/>
    <mergeCell ref="H50:K50"/>
    <mergeCell ref="B10:F10"/>
    <mergeCell ref="N31:N32"/>
    <mergeCell ref="H25:H27"/>
    <mergeCell ref="H19:I19"/>
    <mergeCell ref="N10:R10"/>
    <mergeCell ref="P28:Q28"/>
    <mergeCell ref="I7:L7"/>
    <mergeCell ref="N13:O13"/>
    <mergeCell ref="B68:F68"/>
    <mergeCell ref="N34:R34"/>
    <mergeCell ref="B15:C15"/>
    <mergeCell ref="N52:Q52"/>
    <mergeCell ref="P30:Q30"/>
    <mergeCell ref="B53:E53"/>
    <mergeCell ref="D29:E29"/>
    <mergeCell ref="N39:Q39"/>
    <mergeCell ref="H69:K69"/>
    <mergeCell ref="H42:L42"/>
    <mergeCell ref="N44:Q44"/>
    <mergeCell ref="B7:B8"/>
    <mergeCell ref="H14:I14"/>
    <mergeCell ref="B37:E37"/>
    <mergeCell ref="N7:N8"/>
    <mergeCell ref="C63:E63"/>
    <mergeCell ref="B31:B32"/>
    <mergeCell ref="O63:Q63"/>
    <mergeCell ref="J29:K29"/>
    <mergeCell ref="C8:F8"/>
    <mergeCell ref="J38:K38"/>
    <mergeCell ref="B55:E55"/>
    <mergeCell ref="H48:K48"/>
    <mergeCell ref="H31:H32"/>
    <mergeCell ref="J40:K40"/>
    <mergeCell ref="B21:F21"/>
    <mergeCell ref="N12:R12"/>
    <mergeCell ref="I9:L9"/>
    <mergeCell ref="N21:R21"/>
    <mergeCell ref="O5:P5"/>
    <mergeCell ref="D27:E27"/>
    <mergeCell ref="B54:E54"/>
    <mergeCell ref="N18:O18"/>
    <mergeCell ref="B23:F23"/>
    <mergeCell ref="C22:D22"/>
    <mergeCell ref="P27:Q27"/>
    <mergeCell ref="B17:C17"/>
    <mergeCell ref="H43:K43"/>
    <mergeCell ref="N54:Q54"/>
    <mergeCell ref="O4:P4"/>
    <mergeCell ref="I11:L11"/>
    <mergeCell ref="N23:R23"/>
    <mergeCell ref="N41:Q41"/>
    <mergeCell ref="O22:P22"/>
    <mergeCell ref="N17:O17"/>
    <mergeCell ref="O9:R9"/>
    <mergeCell ref="J35:K35"/>
    <mergeCell ref="J26:K26"/>
    <mergeCell ref="H58:K58"/>
    <mergeCell ref="B56:E56"/>
    <mergeCell ref="H16:I16"/>
    <mergeCell ref="B43:E43"/>
    <mergeCell ref="B58:E58"/>
    <mergeCell ref="B19:C19"/>
    <mergeCell ref="N56:Q56"/>
    <mergeCell ref="B52:E52"/>
    <mergeCell ref="J25:K25"/>
    <mergeCell ref="N43:Q43"/>
    <mergeCell ref="H68:K68"/>
    <mergeCell ref="N19:O19"/>
    <mergeCell ref="D28:E28"/>
    <mergeCell ref="C70:D70"/>
    <mergeCell ref="H60:K60"/>
    <mergeCell ref="C62:E62"/>
    <mergeCell ref="O70:P70"/>
    <mergeCell ref="D25:E25"/>
    <mergeCell ref="B57:E57"/>
    <mergeCell ref="D30:E30"/>
    <mergeCell ref="H33:H34"/>
    <mergeCell ref="B20:C20"/>
    <mergeCell ref="I70:K70"/>
    <mergeCell ref="B44:E44"/>
    <mergeCell ref="C64:E64"/>
    <mergeCell ref="H57:K57"/>
    <mergeCell ref="J39:K39"/>
    <mergeCell ref="N35:R35"/>
    <mergeCell ref="H66:K66"/>
    <mergeCell ref="N59:Q59"/>
    <mergeCell ref="H20:I20"/>
    <mergeCell ref="P29:Q29"/>
    <mergeCell ref="I8:L8"/>
    <mergeCell ref="H63:L63"/>
    <mergeCell ref="H10:L10"/>
    <mergeCell ref="I71:K71"/>
    <mergeCell ref="C7:F7"/>
    <mergeCell ref="J37:K37"/>
    <mergeCell ref="H28:H30"/>
    <mergeCell ref="P31:Q31"/>
    <mergeCell ref="N45:Q45"/>
    <mergeCell ref="J30:K30"/>
    <mergeCell ref="B12:F12"/>
    <mergeCell ref="N3:R3"/>
    <mergeCell ref="N68:R68"/>
    <mergeCell ref="N55:Q55"/>
    <mergeCell ref="B67:F67"/>
    <mergeCell ref="D32:E32"/>
    <mergeCell ref="H7:H8"/>
    <mergeCell ref="I22:J22"/>
    <mergeCell ref="N47:Q47"/>
    <mergeCell ref="B59:E59"/>
    <mergeCell ref="O60:Q60"/>
    <mergeCell ref="B46:E46"/>
    <mergeCell ref="H44:K44"/>
    <mergeCell ref="N37:Q37"/>
    <mergeCell ref="C66:E66"/>
    <mergeCell ref="O66:Q66"/>
    <mergeCell ref="J32:K32"/>
    <mergeCell ref="B48:E48"/>
    <mergeCell ref="I5:J5"/>
    <mergeCell ref="H46:K46"/>
    <mergeCell ref="H64:K64"/>
    <mergeCell ref="H51:K51"/>
    <mergeCell ref="C9:F9"/>
    <mergeCell ref="I4:J4"/>
    <mergeCell ref="N58:Q58"/>
    <mergeCell ref="O69:R69"/>
    <mergeCell ref="H18:I18"/>
    <mergeCell ref="B51:F51"/>
    <mergeCell ref="J33:K33"/>
    <mergeCell ref="C11:F11"/>
    <mergeCell ref="B25:B28"/>
    <mergeCell ref="H23:L23"/>
    <mergeCell ref="C65:E65"/>
    <mergeCell ref="N57:Q57"/>
  </mergeCells>
  <conditionalFormatting sqref="B68 F37:F41 F44:F50 F52:F59 H72 H75 H166:I166 H169:I169 L43:L48 L50:L55 L57:L62 L64:L69 L75 N68 R37:R41 R44:R50 R52:R59">
    <cfRule type="colorScale" priority="1">
      <colorScale>
        <cfvo type="formula" val="1"/>
        <cfvo type="formula" val="3"/>
        <cfvo type="formula" val="5"/>
        <color rgb="FFE06666"/>
        <color rgb="FFFFD666"/>
        <color rgb="FF6AA84F"/>
      </colorScale>
    </cfRule>
  </conditionalFormatting>
  <dataValidations count="1">
    <dataValidation sqref="C70 I77 O70" showDropDown="0" showInputMessage="0" showErrorMessage="1" allowBlank="1" type="list">
      <formula1>"Go,Hold,No-Go"</formula1>
    </dataValidation>
  </dataValidations>
  <pageMargins left="0.09791666666666669" right="0.228472222222222" top="0.146527777777778" bottom="0.163194444444444" header="0" footer="0"/>
  <pageSetup orientation="landscape" paperSize="8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O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2.63" customWidth="1" style="360" min="1" max="1"/>
    <col width="4.25" customWidth="1" style="360" min="2" max="2"/>
    <col width="19.38" customWidth="1" style="360" min="3" max="3"/>
    <col width="21.25" customWidth="1" style="360" min="4" max="4"/>
    <col width="29.63" customWidth="1" style="360" min="5" max="5"/>
    <col width="32.25" customWidth="1" style="360" min="6" max="6"/>
    <col width="23" customWidth="1" style="360" min="7" max="7"/>
    <col hidden="1" width="26.88" customWidth="1" style="360" min="8" max="8"/>
    <col width="14.38" customWidth="1" style="360" min="9" max="9"/>
    <col width="34.88" customWidth="1" style="360" min="10" max="10"/>
    <col width="28.25" customWidth="1" style="360" min="11" max="11"/>
    <col width="34.5" customWidth="1" style="360" min="12" max="13"/>
    <col width="28.25" customWidth="1" style="360" min="14" max="14"/>
    <col width="34.5" customWidth="1" style="360" min="15" max="15"/>
  </cols>
  <sheetData>
    <row r="1" ht="15.75" customHeight="1" s="360"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</row>
    <row r="2" ht="15.75" customHeight="1" s="360">
      <c r="B2" s="272" t="n"/>
      <c r="C2" s="409" t="inlineStr">
        <is>
          <t>Factory Requirements</t>
        </is>
      </c>
      <c r="D2" s="378" t="n"/>
      <c r="E2" s="378" t="n"/>
      <c r="F2" s="378" t="n"/>
      <c r="G2" s="378" t="n"/>
      <c r="H2" s="378" t="n"/>
      <c r="I2" s="378" t="n"/>
      <c r="J2" s="379" t="n"/>
      <c r="K2" s="410" t="n"/>
      <c r="L2" s="411" t="n"/>
      <c r="M2" s="412" t="n"/>
      <c r="N2" s="413" t="n"/>
      <c r="O2" s="412" t="n"/>
    </row>
    <row r="3" ht="15.75" customHeight="1" s="360">
      <c r="B3" s="53" t="n"/>
      <c r="C3" s="278" t="inlineStr">
        <is>
          <t>Category</t>
        </is>
      </c>
      <c r="D3" s="279" t="inlineStr">
        <is>
          <t>Responsible for req.</t>
        </is>
      </c>
      <c r="E3" s="279" t="inlineStr">
        <is>
          <t>Requirement</t>
        </is>
      </c>
      <c r="F3" s="378" t="n"/>
      <c r="G3" s="282" t="inlineStr">
        <is>
          <t>Indoor / Outdoor facility Spec</t>
        </is>
      </c>
      <c r="H3" s="283" t="inlineStr">
        <is>
          <t>Outdoor Tent Spec</t>
        </is>
      </c>
      <c r="I3" s="284" t="inlineStr">
        <is>
          <t>Priority</t>
        </is>
      </c>
      <c r="J3" s="279" t="inlineStr">
        <is>
          <t>Notes / Scaling</t>
        </is>
      </c>
      <c r="K3" s="285" t="inlineStr">
        <is>
          <t>Facility Spec</t>
        </is>
      </c>
      <c r="L3" s="286" t="inlineStr">
        <is>
          <t>Notes</t>
        </is>
      </c>
      <c r="M3" s="287" t="inlineStr">
        <is>
          <t>Questions</t>
        </is>
      </c>
      <c r="N3" s="288" t="inlineStr">
        <is>
          <t>Setup Spec</t>
        </is>
      </c>
      <c r="O3" s="289" t="inlineStr">
        <is>
          <t>Notes</t>
        </is>
      </c>
    </row>
    <row r="4" ht="15.75" customHeight="1" s="360">
      <c r="B4" s="290" t="n"/>
      <c r="C4" s="291" t="n"/>
      <c r="D4" s="292" t="n"/>
      <c r="E4" s="292" t="n"/>
      <c r="F4" s="292" t="n"/>
      <c r="G4" s="293" t="n"/>
      <c r="H4" s="294" t="n"/>
      <c r="I4" s="295" t="n"/>
      <c r="J4" s="292" t="n"/>
      <c r="K4" s="296" t="n"/>
      <c r="L4" s="297" t="n"/>
      <c r="M4" s="298" t="n"/>
      <c r="N4" s="299" t="n"/>
      <c r="O4" s="300" t="n"/>
    </row>
    <row r="5" ht="15.75" customHeight="1" s="360">
      <c r="B5" s="290" t="n"/>
      <c r="C5" s="291" t="n"/>
      <c r="D5" s="292" t="n"/>
      <c r="E5" s="292" t="n"/>
      <c r="F5" s="292" t="n"/>
      <c r="G5" s="293" t="n"/>
      <c r="H5" s="294" t="n"/>
      <c r="I5" s="295" t="n"/>
      <c r="J5" s="292" t="n"/>
      <c r="K5" s="301" t="n"/>
      <c r="L5" s="302" t="n"/>
      <c r="M5" s="303" t="n"/>
      <c r="N5" s="299" t="n"/>
      <c r="O5" s="300" t="n"/>
    </row>
    <row r="6" ht="15.75" customHeight="1" s="360">
      <c r="B6" s="290" t="n"/>
      <c r="C6" s="291" t="n"/>
      <c r="D6" s="292" t="n"/>
      <c r="E6" s="292" t="n"/>
      <c r="F6" s="292" t="n"/>
      <c r="G6" s="293" t="n"/>
      <c r="H6" s="294" t="n"/>
      <c r="I6" s="295" t="n"/>
      <c r="J6" s="292" t="n"/>
      <c r="K6" s="304" t="n"/>
      <c r="L6" s="305" t="n"/>
      <c r="M6" s="305" t="n"/>
      <c r="N6" s="299" t="n"/>
      <c r="O6" s="300" t="n"/>
    </row>
    <row r="7" ht="15.75" customHeight="1" s="360">
      <c r="B7" s="290" t="n"/>
      <c r="C7" s="291" t="n"/>
      <c r="D7" s="292" t="n"/>
      <c r="E7" s="292" t="n"/>
      <c r="F7" s="292" t="n"/>
      <c r="G7" s="293" t="n"/>
      <c r="H7" s="294" t="n"/>
      <c r="I7" s="295" t="n"/>
      <c r="J7" s="292" t="n"/>
      <c r="K7" s="296" t="n"/>
      <c r="L7" s="297" t="n"/>
      <c r="M7" s="297" t="n"/>
      <c r="N7" s="299" t="n"/>
      <c r="O7" s="300" t="n"/>
    </row>
    <row r="8" ht="15.75" customHeight="1" s="360">
      <c r="B8" s="290" t="n"/>
      <c r="C8" s="291" t="n"/>
      <c r="D8" s="292" t="n"/>
      <c r="E8" s="292" t="n"/>
      <c r="F8" s="292" t="n"/>
      <c r="G8" s="293" t="n"/>
      <c r="H8" s="294" t="n"/>
      <c r="I8" s="295" t="n"/>
      <c r="J8" s="292" t="n"/>
      <c r="K8" s="301" t="n"/>
      <c r="L8" s="302" t="n"/>
      <c r="M8" s="302" t="n"/>
      <c r="N8" s="299" t="n"/>
      <c r="O8" s="300" t="n"/>
    </row>
    <row r="9" ht="15.75" customHeight="1" s="360">
      <c r="B9" s="290" t="n"/>
      <c r="C9" s="291" t="n"/>
      <c r="D9" s="292" t="n"/>
      <c r="E9" s="292" t="n"/>
      <c r="F9" s="292" t="n"/>
      <c r="G9" s="293" t="n"/>
      <c r="H9" s="294" t="n"/>
      <c r="I9" s="295" t="n"/>
      <c r="J9" s="292" t="n"/>
      <c r="K9" s="304" t="n"/>
      <c r="L9" s="305" t="n"/>
      <c r="M9" s="305" t="n"/>
      <c r="N9" s="299" t="n"/>
      <c r="O9" s="300" t="n"/>
    </row>
    <row r="10" ht="15.75" customHeight="1" s="360">
      <c r="B10" s="290" t="n"/>
      <c r="C10" s="291" t="n"/>
      <c r="D10" s="292" t="n"/>
      <c r="E10" s="292" t="n"/>
      <c r="F10" s="292" t="n"/>
      <c r="G10" s="293" t="n"/>
      <c r="H10" s="294" t="n"/>
      <c r="I10" s="295" t="n"/>
      <c r="J10" s="292" t="n"/>
      <c r="K10" s="304" t="n"/>
      <c r="L10" s="305" t="n"/>
      <c r="M10" s="305" t="n"/>
      <c r="N10" s="299" t="n"/>
      <c r="O10" s="300" t="n"/>
    </row>
    <row r="11" ht="15.75" customHeight="1" s="360">
      <c r="B11" s="290" t="n"/>
      <c r="C11" s="291" t="n"/>
      <c r="D11" s="292" t="n"/>
      <c r="E11" s="292" t="n"/>
      <c r="F11" s="292" t="n"/>
      <c r="G11" s="293" t="n"/>
      <c r="H11" s="294" t="n"/>
      <c r="I11" s="295" t="n"/>
      <c r="J11" s="292" t="n"/>
      <c r="K11" s="301" t="n"/>
      <c r="L11" s="302" t="n"/>
      <c r="M11" s="302" t="n"/>
      <c r="N11" s="299" t="n"/>
      <c r="O11" s="300" t="n"/>
    </row>
    <row r="12" ht="15.75" customHeight="1" s="360">
      <c r="B12" s="290" t="n"/>
      <c r="C12" s="291" t="n"/>
      <c r="D12" s="292" t="n"/>
      <c r="E12" s="292" t="n"/>
      <c r="F12" s="292" t="n"/>
      <c r="G12" s="293" t="n"/>
      <c r="H12" s="294" t="n"/>
      <c r="I12" s="295" t="n"/>
      <c r="J12" s="292" t="n"/>
      <c r="K12" s="296" t="n"/>
      <c r="L12" s="297" t="n"/>
      <c r="M12" s="297" t="n"/>
      <c r="N12" s="299" t="n"/>
      <c r="O12" s="300" t="n"/>
    </row>
    <row r="13" ht="15.75" customHeight="1" s="360">
      <c r="B13" s="290" t="n"/>
      <c r="C13" s="291" t="n"/>
      <c r="D13" s="292" t="n"/>
      <c r="E13" s="292" t="n"/>
      <c r="F13" s="292" t="n"/>
      <c r="G13" s="293" t="n"/>
      <c r="H13" s="294" t="n"/>
      <c r="I13" s="295" t="n"/>
      <c r="J13" s="292" t="n"/>
      <c r="K13" s="296" t="n"/>
      <c r="L13" s="297" t="n"/>
      <c r="M13" s="297" t="n"/>
      <c r="N13" s="299" t="n"/>
      <c r="O13" s="300" t="n"/>
    </row>
    <row r="14" ht="15.75" customHeight="1" s="360">
      <c r="B14" s="290" t="n"/>
      <c r="C14" s="291" t="n"/>
      <c r="D14" s="292" t="n"/>
      <c r="E14" s="292" t="n"/>
      <c r="F14" s="292" t="n"/>
      <c r="G14" s="293" t="n"/>
      <c r="H14" s="294" t="n"/>
      <c r="I14" s="295" t="n"/>
      <c r="J14" s="292" t="n"/>
      <c r="K14" s="304" t="n"/>
      <c r="L14" s="305" t="n"/>
      <c r="M14" s="305" t="n"/>
      <c r="N14" s="299" t="n"/>
      <c r="O14" s="300" t="n"/>
    </row>
    <row r="15" ht="15.75" customHeight="1" s="360">
      <c r="B15" s="290" t="n"/>
      <c r="C15" s="291" t="n"/>
      <c r="D15" s="292" t="n"/>
      <c r="E15" s="292" t="n"/>
      <c r="F15" s="292" t="n"/>
      <c r="G15" s="293" t="n"/>
      <c r="H15" s="294" t="n"/>
      <c r="I15" s="295" t="n"/>
      <c r="J15" s="292" t="n"/>
      <c r="K15" s="296" t="n"/>
      <c r="L15" s="297" t="n"/>
      <c r="M15" s="297" t="n"/>
      <c r="N15" s="299" t="n"/>
      <c r="O15" s="300" t="n"/>
    </row>
    <row r="16" ht="15.75" customHeight="1" s="360">
      <c r="B16" s="290" t="n"/>
      <c r="C16" s="291" t="n"/>
      <c r="D16" s="292" t="n"/>
      <c r="E16" s="292" t="n"/>
      <c r="F16" s="292" t="n"/>
      <c r="G16" s="293" t="n"/>
      <c r="H16" s="306" t="n"/>
      <c r="I16" s="295" t="n"/>
      <c r="J16" s="292" t="n"/>
      <c r="K16" s="301" t="n"/>
      <c r="L16" s="302" t="n"/>
      <c r="M16" s="303" t="n"/>
      <c r="N16" s="299" t="n"/>
      <c r="O16" s="300" t="n"/>
    </row>
    <row r="17" ht="15.75" customHeight="1" s="360">
      <c r="B17" s="290" t="n"/>
      <c r="C17" s="291" t="n"/>
      <c r="D17" s="292" t="n"/>
      <c r="E17" s="292" t="n"/>
      <c r="F17" s="292" t="n"/>
      <c r="G17" s="293" t="n"/>
      <c r="H17" s="307" t="n"/>
      <c r="I17" s="295" t="n"/>
      <c r="J17" s="292" t="n"/>
      <c r="K17" s="296" t="n"/>
      <c r="L17" s="297" t="n"/>
      <c r="M17" s="298" t="n"/>
      <c r="N17" s="299" t="n"/>
      <c r="O17" s="300" t="n"/>
    </row>
    <row r="18" ht="15.75" customHeight="1" s="360">
      <c r="B18" s="290" t="n"/>
      <c r="C18" s="291" t="n"/>
      <c r="D18" s="292" t="n"/>
      <c r="E18" s="292" t="n"/>
      <c r="F18" s="292" t="n"/>
      <c r="G18" s="293" t="n"/>
      <c r="H18" s="307" t="n"/>
      <c r="I18" s="295" t="n"/>
      <c r="J18" s="292" t="n"/>
      <c r="K18" s="296" t="n"/>
      <c r="L18" s="297" t="n"/>
      <c r="M18" s="298" t="n"/>
      <c r="N18" s="299" t="n"/>
      <c r="O18" s="300" t="n"/>
    </row>
    <row r="19" ht="15.75" customHeight="1" s="360">
      <c r="B19" s="290" t="n"/>
      <c r="C19" s="291" t="n"/>
      <c r="D19" s="292" t="n"/>
      <c r="E19" s="292" t="n"/>
      <c r="F19" s="292" t="n"/>
      <c r="G19" s="293" t="n"/>
      <c r="H19" s="307" t="n"/>
      <c r="I19" s="295" t="n"/>
      <c r="J19" s="292" t="n"/>
      <c r="K19" s="296" t="n"/>
      <c r="L19" s="297" t="n"/>
      <c r="M19" s="298" t="n"/>
      <c r="N19" s="299" t="n"/>
      <c r="O19" s="300" t="n"/>
    </row>
    <row r="20" ht="15.75" customHeight="1" s="360">
      <c r="B20" s="290" t="n"/>
      <c r="C20" s="291" t="n"/>
      <c r="D20" s="292" t="n"/>
      <c r="E20" s="292" t="n"/>
      <c r="F20" s="292" t="n"/>
      <c r="G20" s="293" t="n"/>
      <c r="H20" s="307" t="n"/>
      <c r="I20" s="295" t="n"/>
      <c r="J20" s="292" t="n"/>
      <c r="K20" s="296" t="n"/>
      <c r="L20" s="297" t="n"/>
      <c r="M20" s="298" t="n"/>
      <c r="N20" s="299" t="n"/>
      <c r="O20" s="300" t="n"/>
    </row>
    <row r="21" ht="15.75" customHeight="1" s="360">
      <c r="B21" s="290" t="n"/>
      <c r="C21" s="291" t="n"/>
      <c r="D21" s="292" t="n"/>
      <c r="E21" s="292" t="n"/>
      <c r="F21" s="292" t="n"/>
      <c r="G21" s="293" t="n"/>
      <c r="H21" s="307" t="n"/>
      <c r="I21" s="295" t="n"/>
      <c r="J21" s="292" t="n"/>
      <c r="K21" s="308" t="n"/>
      <c r="L21" s="309" t="n"/>
      <c r="M21" s="310" t="n"/>
      <c r="N21" s="311" t="n"/>
      <c r="O21" s="312" t="n"/>
    </row>
    <row r="22" ht="15.75" customHeight="1" s="360"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313" t="n"/>
      <c r="L22" s="313" t="n"/>
      <c r="M22" s="313" t="n"/>
      <c r="N22" s="77" t="n"/>
      <c r="O22" s="77" t="n"/>
    </row>
    <row r="23" ht="15.75" customHeight="1" s="360">
      <c r="B23" s="77" t="n"/>
      <c r="C23" s="77" t="n"/>
      <c r="D23" s="77" t="n"/>
      <c r="E23" s="77" t="n"/>
      <c r="F23" s="77" t="n"/>
      <c r="G23" s="77" t="n"/>
      <c r="H23" s="77" t="n"/>
      <c r="I23" s="77" t="n"/>
      <c r="J23" s="77" t="n"/>
      <c r="K23" s="313" t="n"/>
      <c r="L23" s="313" t="n"/>
      <c r="M23" s="313" t="n"/>
      <c r="N23" s="77" t="n"/>
      <c r="O23" s="77" t="n"/>
    </row>
    <row r="24" ht="15.75" customHeight="1" s="360">
      <c r="B24" s="272" t="n"/>
      <c r="C24" s="409" t="inlineStr">
        <is>
          <t>Tab 2 – Equipment &amp; Permits</t>
        </is>
      </c>
      <c r="D24" s="378" t="n"/>
      <c r="E24" s="378" t="n"/>
      <c r="F24" s="378" t="n"/>
      <c r="G24" s="378" t="n"/>
      <c r="H24" s="378" t="n"/>
      <c r="I24" s="378" t="n"/>
      <c r="J24" s="379" t="n"/>
      <c r="K24" s="410" t="n"/>
      <c r="L24" s="411" t="n"/>
      <c r="M24" s="412" t="n"/>
      <c r="N24" s="414" t="n"/>
      <c r="O24" s="412" t="n"/>
    </row>
    <row r="25" ht="15.75" customHeight="1" s="360">
      <c r="B25" s="53" t="n"/>
      <c r="C25" s="278" t="inlineStr">
        <is>
          <t>Category</t>
        </is>
      </c>
      <c r="D25" s="279" t="inlineStr">
        <is>
          <t>Responsible for req.</t>
        </is>
      </c>
      <c r="E25" s="279" t="n"/>
      <c r="F25" s="282" t="inlineStr">
        <is>
          <t>Item</t>
        </is>
      </c>
      <c r="G25" s="282" t="inlineStr">
        <is>
          <t>Priority</t>
        </is>
      </c>
      <c r="H25" s="282" t="inlineStr">
        <is>
          <t>Notes</t>
        </is>
      </c>
      <c r="I25" s="378" t="n"/>
      <c r="J25" s="379" t="n"/>
      <c r="K25" s="285" t="inlineStr">
        <is>
          <t>Facility Spec</t>
        </is>
      </c>
      <c r="L25" s="315" t="inlineStr">
        <is>
          <t xml:space="preserve">Notes </t>
        </is>
      </c>
      <c r="M25" s="287" t="inlineStr">
        <is>
          <t>Questions</t>
        </is>
      </c>
      <c r="N25" s="316" t="inlineStr">
        <is>
          <t>Setup Spec</t>
        </is>
      </c>
      <c r="O25" s="289" t="inlineStr">
        <is>
          <t>Notes</t>
        </is>
      </c>
    </row>
    <row r="26" ht="15.75" customHeight="1" s="360">
      <c r="B26" s="317" t="n"/>
      <c r="C26" s="302" t="inlineStr">
        <is>
          <t>Equipment</t>
        </is>
      </c>
      <c r="D26" s="293" t="n"/>
      <c r="E26" s="293" t="n"/>
      <c r="F26" s="293" t="n"/>
      <c r="G26" s="293" t="n"/>
      <c r="H26" s="294" t="n"/>
      <c r="I26" s="292" t="n"/>
      <c r="J26" s="378" t="n"/>
      <c r="K26" s="296" t="n"/>
      <c r="L26" s="297" t="n"/>
      <c r="M26" s="298" t="n"/>
      <c r="N26" s="319" t="n"/>
      <c r="O26" s="300" t="n"/>
    </row>
    <row r="27" ht="15.75" customHeight="1" s="360">
      <c r="B27" s="317" t="n"/>
      <c r="C27" s="396" t="n"/>
      <c r="D27" s="293" t="n"/>
      <c r="E27" s="293" t="n"/>
      <c r="F27" s="293" t="n"/>
      <c r="G27" s="293" t="n"/>
      <c r="H27" s="293" t="n"/>
      <c r="I27" s="378" t="n"/>
      <c r="J27" s="379" t="n"/>
      <c r="K27" s="320" t="n"/>
      <c r="L27" s="321" t="n"/>
      <c r="M27" s="298" t="n"/>
      <c r="N27" s="319" t="n"/>
      <c r="O27" s="300" t="n"/>
    </row>
    <row r="28" ht="15.75" customHeight="1" s="360">
      <c r="B28" s="317" t="n"/>
      <c r="C28" s="396" t="n"/>
      <c r="D28" s="293" t="n"/>
      <c r="E28" s="293" t="n"/>
      <c r="F28" s="293" t="n"/>
      <c r="G28" s="293" t="n"/>
      <c r="H28" s="293" t="n"/>
      <c r="I28" s="378" t="n"/>
      <c r="J28" s="379" t="n"/>
      <c r="K28" s="320" t="n"/>
      <c r="L28" s="321" t="n"/>
      <c r="M28" s="298" t="n"/>
      <c r="N28" s="319" t="n"/>
      <c r="O28" s="300" t="n"/>
    </row>
    <row r="29" ht="15.75" customHeight="1" s="360">
      <c r="B29" s="317" t="n"/>
      <c r="C29" s="396" t="n"/>
      <c r="D29" s="293" t="n"/>
      <c r="E29" s="293" t="n"/>
      <c r="F29" s="293" t="n"/>
      <c r="G29" s="293" t="n"/>
      <c r="H29" s="293" t="n"/>
      <c r="I29" s="378" t="n"/>
      <c r="J29" s="379" t="n"/>
      <c r="K29" s="320" t="n"/>
      <c r="L29" s="321" t="n"/>
      <c r="M29" s="298" t="n"/>
      <c r="N29" s="319" t="n"/>
      <c r="O29" s="300" t="n"/>
    </row>
    <row r="30" ht="15.75" customHeight="1" s="360">
      <c r="B30" s="317" t="n"/>
      <c r="C30" s="391" t="n"/>
      <c r="D30" s="293" t="n"/>
      <c r="E30" s="293" t="n"/>
      <c r="F30" s="293" t="n"/>
      <c r="G30" s="293" t="n"/>
      <c r="H30" s="293" t="n"/>
      <c r="I30" s="378" t="n"/>
      <c r="J30" s="379" t="n"/>
      <c r="K30" s="320" t="n"/>
      <c r="L30" s="321" t="n"/>
      <c r="M30" s="298" t="n"/>
      <c r="N30" s="319" t="n"/>
      <c r="O30" s="300" t="n"/>
    </row>
    <row r="31" ht="15.75" customHeight="1" s="360">
      <c r="B31" s="317" t="n"/>
      <c r="C31" s="302" t="inlineStr">
        <is>
          <t>Permits</t>
        </is>
      </c>
      <c r="D31" s="293" t="n"/>
      <c r="E31" s="293" t="n"/>
      <c r="F31" s="293" t="n"/>
      <c r="G31" s="293" t="n"/>
      <c r="H31" s="293" t="n"/>
      <c r="I31" s="378" t="n"/>
      <c r="J31" s="379" t="n"/>
      <c r="K31" s="296" t="n"/>
      <c r="L31" s="321" t="n"/>
      <c r="M31" s="298" t="n"/>
      <c r="N31" s="319" t="n"/>
      <c r="O31" s="300" t="n"/>
    </row>
    <row r="32" ht="15.75" customHeight="1" s="360">
      <c r="B32" s="317" t="n"/>
      <c r="C32" s="396" t="n"/>
      <c r="D32" s="293" t="n"/>
      <c r="E32" s="293" t="n"/>
      <c r="F32" s="293" t="n"/>
      <c r="G32" s="293" t="n"/>
      <c r="H32" s="293" t="n"/>
      <c r="I32" s="378" t="n"/>
      <c r="J32" s="379" t="n"/>
      <c r="K32" s="296" t="n"/>
      <c r="L32" s="321" t="n"/>
      <c r="M32" s="298" t="n"/>
      <c r="N32" s="319" t="n"/>
      <c r="O32" s="300" t="n"/>
    </row>
    <row r="33" ht="15.75" customHeight="1" s="360">
      <c r="B33" s="317" t="n"/>
      <c r="C33" s="396" t="n"/>
      <c r="D33" s="293" t="n"/>
      <c r="E33" s="293" t="n"/>
      <c r="F33" s="293" t="n"/>
      <c r="G33" s="293" t="n"/>
      <c r="H33" s="293" t="n"/>
      <c r="I33" s="378" t="n"/>
      <c r="J33" s="379" t="n"/>
      <c r="K33" s="296" t="n"/>
      <c r="L33" s="321" t="n"/>
      <c r="M33" s="298" t="n"/>
      <c r="N33" s="319" t="n"/>
      <c r="O33" s="300" t="n"/>
    </row>
    <row r="34" ht="15.75" customHeight="1" s="360">
      <c r="B34" s="317" t="n"/>
      <c r="C34" s="391" t="n"/>
      <c r="D34" s="293" t="n"/>
      <c r="E34" s="293" t="n"/>
      <c r="F34" s="293" t="n"/>
      <c r="G34" s="293" t="n"/>
      <c r="H34" s="293" t="n"/>
      <c r="I34" s="378" t="n"/>
      <c r="J34" s="379" t="n"/>
      <c r="K34" s="308" t="n"/>
      <c r="L34" s="322" t="n"/>
      <c r="M34" s="310" t="n"/>
      <c r="N34" s="323" t="n"/>
      <c r="O34" s="312" t="n"/>
    </row>
    <row r="35" ht="15.75" customHeight="1" s="360"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324" t="n"/>
      <c r="L35" s="324" t="n"/>
      <c r="M35" s="324" t="n"/>
      <c r="N35" s="77" t="n"/>
      <c r="O35" s="77" t="n"/>
    </row>
    <row r="36" ht="15.75" customHeight="1" s="360">
      <c r="B36" s="77" t="n"/>
      <c r="C36" s="77" t="n"/>
      <c r="D36" s="77" t="n"/>
      <c r="E36" s="77" t="n"/>
      <c r="F36" s="77" t="n"/>
      <c r="G36" s="77" t="n"/>
      <c r="H36" s="77" t="n"/>
      <c r="I36" s="77" t="n"/>
      <c r="J36" s="77" t="n"/>
      <c r="K36" s="324" t="n"/>
      <c r="L36" s="324" t="n"/>
      <c r="M36" s="324" t="n"/>
      <c r="N36" s="77" t="n"/>
      <c r="O36" s="77" t="n"/>
    </row>
    <row r="37" ht="15.75" customHeight="1" s="360">
      <c r="B37" s="272" t="n"/>
      <c r="C37" s="409" t="inlineStr">
        <is>
          <t>Tab 3 – Material Requirements</t>
        </is>
      </c>
      <c r="D37" s="378" t="n"/>
      <c r="E37" s="378" t="n"/>
      <c r="F37" s="378" t="n"/>
      <c r="G37" s="378" t="n"/>
      <c r="H37" s="378" t="n"/>
      <c r="I37" s="378" t="n"/>
      <c r="J37" s="379" t="n"/>
      <c r="K37" s="410" t="n"/>
      <c r="L37" s="411" t="n"/>
      <c r="M37" s="412" t="n"/>
      <c r="N37" s="414" t="n"/>
      <c r="O37" s="412" t="n"/>
    </row>
    <row r="38" ht="15.75" customHeight="1" s="360">
      <c r="B38" s="53" t="n"/>
      <c r="C38" s="278" t="inlineStr">
        <is>
          <t>Category</t>
        </is>
      </c>
      <c r="D38" s="282" t="n"/>
      <c r="E38" s="282" t="n"/>
      <c r="F38" s="282" t="inlineStr">
        <is>
          <t>Item</t>
        </is>
      </c>
      <c r="G38" s="282" t="inlineStr">
        <is>
          <t>Priority</t>
        </is>
      </c>
      <c r="H38" s="282" t="inlineStr">
        <is>
          <t>Notes</t>
        </is>
      </c>
      <c r="I38" s="378" t="n"/>
      <c r="J38" s="379" t="n"/>
      <c r="K38" s="285" t="inlineStr">
        <is>
          <t>Facility Spec</t>
        </is>
      </c>
      <c r="L38" s="315" t="inlineStr">
        <is>
          <t xml:space="preserve">Notes </t>
        </is>
      </c>
      <c r="M38" s="287" t="inlineStr">
        <is>
          <t>Questions</t>
        </is>
      </c>
      <c r="N38" s="316" t="inlineStr">
        <is>
          <t>Setup Spec</t>
        </is>
      </c>
      <c r="O38" s="289" t="inlineStr">
        <is>
          <t>Notes</t>
        </is>
      </c>
    </row>
    <row r="39" ht="15.75" customHeight="1" s="360">
      <c r="B39" s="317" t="n"/>
      <c r="C39" s="302" t="inlineStr">
        <is>
          <t xml:space="preserve">Material </t>
        </is>
      </c>
      <c r="D39" s="293" t="n"/>
      <c r="E39" s="293" t="n"/>
      <c r="F39" s="293" t="n"/>
      <c r="G39" s="293" t="n"/>
      <c r="H39" s="293" t="n"/>
      <c r="I39" s="378" t="n"/>
      <c r="J39" s="379" t="n"/>
      <c r="K39" s="296" t="n"/>
      <c r="L39" s="321" t="n"/>
      <c r="M39" s="298" t="n"/>
      <c r="N39" s="319" t="n"/>
      <c r="O39" s="300" t="n"/>
    </row>
    <row r="40" ht="15.75" customHeight="1" s="360">
      <c r="B40" s="317" t="n"/>
      <c r="C40" s="396" t="n"/>
      <c r="D40" s="293" t="n"/>
      <c r="E40" s="293" t="n"/>
      <c r="F40" s="293" t="n"/>
      <c r="G40" s="293" t="n"/>
      <c r="H40" s="293" t="n"/>
      <c r="I40" s="378" t="n"/>
      <c r="J40" s="379" t="n"/>
      <c r="K40" s="296" t="n"/>
      <c r="L40" s="321" t="n"/>
      <c r="M40" s="298" t="n"/>
      <c r="N40" s="319" t="n"/>
      <c r="O40" s="300" t="n"/>
    </row>
    <row r="41" ht="15.75" customHeight="1" s="360">
      <c r="B41" s="317" t="n"/>
      <c r="C41" s="396" t="n"/>
      <c r="D41" s="293" t="n"/>
      <c r="E41" s="293" t="n"/>
      <c r="F41" s="293" t="n"/>
      <c r="G41" s="293" t="n"/>
      <c r="H41" s="293" t="n"/>
      <c r="I41" s="378" t="n"/>
      <c r="J41" s="379" t="n"/>
      <c r="K41" s="296" t="n"/>
      <c r="L41" s="321" t="n"/>
      <c r="M41" s="298" t="n"/>
      <c r="N41" s="319" t="n"/>
      <c r="O41" s="300" t="n"/>
    </row>
    <row r="42" ht="15.75" customHeight="1" s="360">
      <c r="B42" s="317" t="n"/>
      <c r="C42" s="391" t="n"/>
      <c r="D42" s="293" t="n"/>
      <c r="E42" s="293" t="n"/>
      <c r="F42" s="293" t="n"/>
      <c r="G42" s="293" t="n"/>
      <c r="H42" s="293" t="n"/>
      <c r="I42" s="378" t="n"/>
      <c r="J42" s="379" t="n"/>
      <c r="K42" s="296" t="n"/>
      <c r="L42" s="321" t="n"/>
      <c r="M42" s="298" t="n"/>
      <c r="N42" s="319" t="n"/>
      <c r="O42" s="300" t="n"/>
    </row>
    <row r="43" ht="15.75" customHeight="1" s="360"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</row>
    <row r="44" ht="15.75" customHeight="1" s="360">
      <c r="B44" s="77" t="n"/>
      <c r="C44" s="77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</row>
    <row r="45" ht="15.75" customHeight="1" s="360"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</row>
    <row r="46" ht="15.75" customHeight="1" s="360"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</row>
    <row r="47" ht="15.75" customHeight="1" s="360">
      <c r="B47" s="272" t="n"/>
      <c r="C47" s="409" t="inlineStr">
        <is>
          <t>Tab 4 – Factory area requirements</t>
        </is>
      </c>
      <c r="D47" s="378" t="n"/>
      <c r="E47" s="378" t="n"/>
      <c r="F47" s="378" t="n"/>
      <c r="G47" s="378" t="n"/>
      <c r="H47" s="378" t="n"/>
      <c r="I47" s="378" t="n"/>
      <c r="J47" s="379" t="n"/>
      <c r="K47" s="410" t="n"/>
      <c r="L47" s="411" t="n"/>
      <c r="M47" s="412" t="n"/>
      <c r="N47" s="414" t="n"/>
      <c r="O47" s="412" t="n"/>
    </row>
    <row r="48" ht="15.75" customHeight="1" s="360">
      <c r="B48" s="325" t="n"/>
      <c r="C48" s="326" t="inlineStr">
        <is>
          <t>Scenario (all double cell)</t>
        </is>
      </c>
      <c r="D48" s="326" t="n"/>
      <c r="E48" s="326" t="n"/>
      <c r="F48" s="326" t="inlineStr">
        <is>
          <t>Zones Included (Printing, Curing, Casting, Storage, etc)</t>
        </is>
      </c>
      <c r="G48" s="326" t="inlineStr">
        <is>
          <t>Zones Not Included (Lab, changing rooms, offices, etc.)</t>
        </is>
      </c>
      <c r="H48" s="89" t="n"/>
      <c r="I48" s="326" t="inlineStr">
        <is>
          <t>Total Estimated Indoor Area Factory (sq m)</t>
        </is>
      </c>
      <c r="J48" s="326" t="inlineStr">
        <is>
          <t>Total Estimated Indoor Area On-site (sq m)</t>
        </is>
      </c>
      <c r="K48" s="285" t="inlineStr">
        <is>
          <t>Facility Spec (Indoor area)</t>
        </is>
      </c>
      <c r="L48" s="315" t="inlineStr">
        <is>
          <t xml:space="preserve">Notes </t>
        </is>
      </c>
      <c r="M48" s="287" t="inlineStr">
        <is>
          <t>Questions</t>
        </is>
      </c>
      <c r="N48" s="316" t="inlineStr">
        <is>
          <t>Facility Spec (Indoor area)</t>
        </is>
      </c>
      <c r="O48" s="289" t="inlineStr">
        <is>
          <t>Facility Spec (Outdoor area)</t>
        </is>
      </c>
    </row>
    <row r="49" ht="15.75" customHeight="1" s="360">
      <c r="B49" s="327" t="n"/>
      <c r="C49" s="328" t="n"/>
      <c r="D49" s="329" t="n"/>
      <c r="E49" s="329" t="n"/>
      <c r="F49" s="329" t="n"/>
      <c r="G49" s="329" t="n"/>
      <c r="H49" s="89" t="n"/>
      <c r="I49" s="278" t="n"/>
      <c r="J49" s="278" t="n"/>
      <c r="K49" s="331" t="n"/>
      <c r="L49" s="332" t="n"/>
      <c r="M49" s="333" t="n"/>
      <c r="N49" s="319" t="n"/>
      <c r="O49" s="300" t="n"/>
    </row>
    <row r="50" ht="15.75" customHeight="1" s="360">
      <c r="B50" s="327" t="n"/>
      <c r="C50" s="328" t="n"/>
      <c r="D50" s="329" t="n"/>
      <c r="E50" s="329" t="n"/>
      <c r="F50" s="396" t="n"/>
      <c r="G50" s="396" t="n"/>
      <c r="H50" s="89" t="n"/>
      <c r="I50" s="278" t="n"/>
      <c r="J50" s="278" t="n"/>
      <c r="K50" s="331" t="n"/>
      <c r="L50" s="332" t="n"/>
      <c r="M50" s="333" t="n"/>
      <c r="N50" s="319" t="n"/>
      <c r="O50" s="300" t="n"/>
    </row>
    <row r="51" ht="15.75" customHeight="1" s="360">
      <c r="B51" s="327" t="n"/>
      <c r="C51" s="328" t="n"/>
      <c r="D51" s="329" t="n"/>
      <c r="E51" s="329" t="n"/>
      <c r="F51" s="396" t="n"/>
      <c r="G51" s="396" t="n"/>
      <c r="H51" s="89" t="n"/>
      <c r="I51" s="278" t="n"/>
      <c r="J51" s="278" t="n"/>
      <c r="K51" s="331" t="n"/>
      <c r="L51" s="332" t="n"/>
      <c r="M51" s="333" t="n"/>
      <c r="N51" s="319" t="n"/>
      <c r="O51" s="300" t="n"/>
    </row>
    <row r="52" ht="15.75" customHeight="1" s="360">
      <c r="B52" s="327" t="n"/>
      <c r="C52" s="328" t="n"/>
      <c r="D52" s="329" t="n"/>
      <c r="E52" s="329" t="n"/>
      <c r="F52" s="396" t="n"/>
      <c r="G52" s="396" t="n"/>
      <c r="H52" s="89" t="n"/>
      <c r="I52" s="278" t="n"/>
      <c r="J52" s="278" t="n"/>
      <c r="K52" s="331" t="n"/>
      <c r="L52" s="332" t="n"/>
      <c r="M52" s="333" t="n"/>
      <c r="N52" s="319" t="n"/>
      <c r="O52" s="300" t="n"/>
    </row>
    <row r="53" ht="15.75" customHeight="1" s="360">
      <c r="B53" s="327" t="n"/>
      <c r="C53" s="328" t="n"/>
      <c r="D53" s="329" t="n"/>
      <c r="E53" s="329" t="n"/>
      <c r="F53" s="396" t="n"/>
      <c r="G53" s="396" t="n"/>
      <c r="H53" s="89" t="n"/>
      <c r="I53" s="278" t="n"/>
      <c r="J53" s="278" t="n"/>
      <c r="K53" s="331" t="n"/>
      <c r="L53" s="332" t="n"/>
      <c r="M53" s="333" t="n"/>
      <c r="N53" s="319" t="n"/>
      <c r="O53" s="300" t="n"/>
    </row>
    <row r="54" ht="15.75" customHeight="1" s="360">
      <c r="B54" s="327" t="n"/>
      <c r="C54" s="328" t="n"/>
      <c r="D54" s="329" t="n"/>
      <c r="E54" s="329" t="n"/>
      <c r="F54" s="391" t="n"/>
      <c r="G54" s="391" t="n"/>
      <c r="H54" s="89" t="n"/>
      <c r="I54" s="278" t="n"/>
      <c r="J54" s="278" t="n"/>
      <c r="K54" s="331" t="n"/>
      <c r="L54" s="332" t="n"/>
      <c r="M54" s="333" t="n"/>
      <c r="N54" s="319" t="n"/>
      <c r="O54" s="300" t="n"/>
    </row>
    <row r="55" ht="15.75" customHeight="1" s="360"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415" t="inlineStr">
        <is>
          <t>Notes</t>
        </is>
      </c>
      <c r="L55" s="378" t="n"/>
      <c r="M55" s="416" t="n"/>
      <c r="N55" s="417" t="inlineStr">
        <is>
          <t>Notes</t>
        </is>
      </c>
      <c r="O55" s="416" t="n"/>
    </row>
    <row r="56" ht="101.25" customHeight="1" s="360">
      <c r="B56" s="77" t="n"/>
      <c r="C56" s="77" t="n"/>
      <c r="D56" s="77" t="n"/>
      <c r="E56" s="77" t="n"/>
      <c r="F56" s="77" t="n"/>
      <c r="G56" s="77" t="n"/>
      <c r="H56" s="77" t="n"/>
      <c r="I56" s="77" t="n"/>
      <c r="J56" s="77" t="n"/>
      <c r="K56" s="418" t="n"/>
      <c r="L56" s="419" t="n"/>
      <c r="M56" s="420" t="n"/>
      <c r="N56" s="421" t="n"/>
      <c r="O56" s="420" t="n"/>
    </row>
    <row r="57" ht="15.75" customHeight="1" s="360"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</row>
    <row r="58" ht="15.75" customHeight="1" s="360"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</row>
    <row r="59" ht="15.75" customHeight="1" s="360"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</row>
    <row r="60" ht="15.75" customHeight="1" s="360"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</row>
    <row r="61" ht="15.75" customHeight="1" s="360">
      <c r="B61" s="341" t="n"/>
      <c r="C61" s="409" t="inlineStr">
        <is>
          <t>Tab 5 – Alterations/changes needed to the facility</t>
        </is>
      </c>
      <c r="D61" s="378" t="n"/>
      <c r="E61" s="378" t="n"/>
      <c r="F61" s="378" t="n"/>
      <c r="G61" s="378" t="n"/>
      <c r="H61" s="378" t="n"/>
      <c r="I61" s="378" t="n"/>
      <c r="J61" s="379" t="n"/>
      <c r="K61" s="77" t="n"/>
      <c r="L61" s="77" t="n"/>
      <c r="M61" s="77" t="n"/>
      <c r="N61" s="77" t="n"/>
      <c r="O61" s="77" t="n"/>
    </row>
    <row r="62" ht="15.75" customHeight="1" s="360">
      <c r="B62" s="342" t="inlineStr">
        <is>
          <t>No.</t>
        </is>
      </c>
      <c r="C62" s="278" t="inlineStr">
        <is>
          <t>Category</t>
        </is>
      </c>
      <c r="D62" s="279" t="inlineStr">
        <is>
          <t>Responsible for req.</t>
        </is>
      </c>
      <c r="E62" s="282" t="inlineStr">
        <is>
          <t>Location</t>
        </is>
      </c>
      <c r="F62" s="282" t="inlineStr">
        <is>
          <t>Description</t>
        </is>
      </c>
      <c r="G62" s="282" t="inlineStr">
        <is>
          <t>Priority</t>
        </is>
      </c>
      <c r="H62" s="282" t="inlineStr">
        <is>
          <t>Notes</t>
        </is>
      </c>
      <c r="I62" s="378" t="n"/>
      <c r="J62" s="379" t="n"/>
      <c r="K62" s="77" t="n"/>
      <c r="L62" s="77" t="n"/>
      <c r="M62" s="77" t="n"/>
      <c r="N62" s="77" t="n"/>
      <c r="O62" s="77" t="n"/>
    </row>
    <row r="63" ht="15.75" customHeight="1" s="360">
      <c r="B63" s="343" t="n">
        <v>1</v>
      </c>
      <c r="C63" s="302" t="inlineStr">
        <is>
          <t>Immediate modifications</t>
        </is>
      </c>
      <c r="D63" s="344" t="n"/>
      <c r="E63" s="293" t="n"/>
      <c r="F63" s="293" t="n"/>
      <c r="G63" s="293" t="n"/>
      <c r="H63" s="345" t="n"/>
      <c r="I63" s="293" t="n"/>
      <c r="J63" s="379" t="n"/>
      <c r="K63" s="77" t="n"/>
      <c r="L63" s="77" t="n"/>
      <c r="M63" s="77" t="n"/>
      <c r="N63" s="77" t="n"/>
      <c r="O63" s="77" t="n"/>
    </row>
    <row r="64" ht="15.75" customHeight="1" s="360">
      <c r="B64" s="343" t="n">
        <v>2</v>
      </c>
      <c r="C64" s="396" t="n"/>
      <c r="D64" s="346" t="n"/>
      <c r="E64" s="293" t="n"/>
      <c r="F64" s="293" t="n"/>
      <c r="G64" s="293" t="n"/>
      <c r="H64" s="345" t="n"/>
      <c r="I64" s="293" t="n"/>
      <c r="J64" s="379" t="n"/>
      <c r="K64" s="77" t="n"/>
      <c r="L64" s="77" t="n"/>
      <c r="M64" s="77" t="n"/>
      <c r="N64" s="77" t="n"/>
      <c r="O64" s="77" t="n"/>
    </row>
    <row r="65" ht="15.75" customHeight="1" s="360">
      <c r="B65" s="343" t="n">
        <v>3</v>
      </c>
      <c r="C65" s="396" t="n"/>
      <c r="D65" s="346" t="n"/>
      <c r="E65" s="293" t="n"/>
      <c r="F65" s="293" t="n"/>
      <c r="G65" s="293" t="n"/>
      <c r="H65" s="345" t="n"/>
      <c r="I65" s="293" t="n"/>
      <c r="J65" s="379" t="n"/>
      <c r="K65" s="77" t="n"/>
      <c r="L65" s="77" t="n"/>
      <c r="M65" s="77" t="n"/>
      <c r="N65" s="77" t="n"/>
      <c r="O65" s="77" t="n"/>
    </row>
    <row r="66" ht="15.75" customHeight="1" s="360">
      <c r="B66" s="343" t="n">
        <v>4</v>
      </c>
      <c r="C66" s="396" t="n"/>
      <c r="D66" s="346" t="n"/>
      <c r="E66" s="293" t="n"/>
      <c r="F66" s="293" t="n"/>
      <c r="G66" s="293" t="n"/>
      <c r="H66" s="345" t="n"/>
      <c r="I66" s="293" t="n"/>
      <c r="J66" s="379" t="n"/>
      <c r="K66" s="77" t="n"/>
      <c r="L66" s="77" t="n"/>
      <c r="M66" s="77" t="n"/>
      <c r="N66" s="77" t="n"/>
      <c r="O66" s="77" t="n"/>
    </row>
    <row r="67" ht="15.75" customHeight="1" s="360">
      <c r="B67" s="343" t="n">
        <v>5</v>
      </c>
      <c r="C67" s="396" t="n"/>
      <c r="D67" s="346" t="n"/>
      <c r="E67" s="293" t="n"/>
      <c r="F67" s="293" t="n"/>
      <c r="G67" s="293" t="n"/>
      <c r="H67" s="345" t="n"/>
      <c r="I67" s="293" t="n"/>
      <c r="J67" s="379" t="n"/>
      <c r="K67" s="77" t="n"/>
      <c r="L67" s="77" t="n"/>
      <c r="M67" s="77" t="n"/>
      <c r="N67" s="77" t="n"/>
      <c r="O67" s="77" t="n"/>
    </row>
    <row r="68" ht="15.75" customHeight="1" s="360">
      <c r="B68" s="343" t="n">
        <v>6</v>
      </c>
      <c r="C68" s="396" t="n"/>
      <c r="D68" s="346" t="n"/>
      <c r="E68" s="293" t="n"/>
      <c r="F68" s="293" t="n"/>
      <c r="G68" s="293" t="n"/>
      <c r="H68" s="345" t="n"/>
      <c r="I68" s="293" t="n"/>
      <c r="J68" s="379" t="n"/>
      <c r="K68" s="77" t="n"/>
      <c r="L68" s="77" t="n"/>
      <c r="M68" s="77" t="n"/>
      <c r="N68" s="77" t="n"/>
      <c r="O68" s="77" t="n"/>
    </row>
    <row r="69" ht="15.75" customHeight="1" s="360">
      <c r="B69" s="343" t="n">
        <v>7</v>
      </c>
      <c r="C69" s="396" t="n"/>
      <c r="D69" s="346" t="n"/>
      <c r="E69" s="293" t="n"/>
      <c r="F69" s="293" t="n"/>
      <c r="G69" s="293" t="n"/>
      <c r="H69" s="345" t="n"/>
      <c r="I69" s="293" t="n"/>
      <c r="J69" s="379" t="n"/>
      <c r="K69" s="77" t="n"/>
      <c r="L69" s="77" t="n"/>
      <c r="M69" s="77" t="n"/>
      <c r="N69" s="77" t="n"/>
      <c r="O69" s="77" t="n"/>
    </row>
    <row r="70" ht="15.75" customHeight="1" s="360">
      <c r="B70" s="343" t="n">
        <v>8</v>
      </c>
      <c r="C70" s="391" t="n"/>
      <c r="D70" s="347" t="n"/>
      <c r="E70" s="293" t="n"/>
      <c r="F70" s="293" t="n"/>
      <c r="G70" s="293" t="n"/>
      <c r="H70" s="345" t="n"/>
      <c r="I70" s="293" t="n"/>
      <c r="J70" s="379" t="n"/>
      <c r="K70" s="77" t="n"/>
      <c r="L70" s="77" t="n"/>
      <c r="M70" s="77" t="n"/>
      <c r="N70" s="77" t="n"/>
      <c r="O70" s="77" t="n"/>
    </row>
    <row r="71" ht="15.75" customHeight="1" s="360">
      <c r="B71" s="343" t="n">
        <v>9</v>
      </c>
      <c r="C71" s="302" t="inlineStr">
        <is>
          <t>Long term modifications</t>
        </is>
      </c>
      <c r="D71" s="344" t="n"/>
      <c r="E71" s="293" t="n"/>
      <c r="F71" s="293" t="n"/>
      <c r="G71" s="293" t="n"/>
      <c r="H71" s="294" t="n"/>
      <c r="I71" s="293" t="n"/>
      <c r="J71" s="379" t="n"/>
      <c r="K71" s="77" t="n"/>
      <c r="L71" s="77" t="n"/>
      <c r="M71" s="77" t="n"/>
      <c r="N71" s="77" t="n"/>
      <c r="O71" s="77" t="n"/>
    </row>
    <row r="72" ht="15.75" customHeight="1" s="360">
      <c r="B72" s="343" t="n">
        <v>10</v>
      </c>
      <c r="C72" s="396" t="n"/>
      <c r="D72" s="346" t="n"/>
      <c r="E72" s="396" t="n"/>
      <c r="F72" s="293" t="n"/>
      <c r="G72" s="293" t="n"/>
      <c r="H72" s="293" t="n"/>
      <c r="I72" s="293" t="n"/>
      <c r="J72" s="379" t="n"/>
      <c r="K72" s="77" t="n"/>
      <c r="L72" s="77" t="n"/>
      <c r="M72" s="77" t="n"/>
      <c r="N72" s="77" t="n"/>
      <c r="O72" s="77" t="n"/>
    </row>
    <row r="73" ht="15.75" customHeight="1" s="360">
      <c r="B73" s="343" t="n">
        <v>11</v>
      </c>
      <c r="C73" s="396" t="n"/>
      <c r="D73" s="346" t="n"/>
      <c r="E73" s="391" t="n"/>
      <c r="F73" s="293" t="n"/>
      <c r="G73" s="293" t="n"/>
      <c r="H73" s="293" t="n"/>
      <c r="I73" s="378" t="n"/>
      <c r="J73" s="379" t="n"/>
      <c r="K73" s="77" t="n"/>
      <c r="L73" s="77" t="n"/>
      <c r="M73" s="77" t="n"/>
      <c r="N73" s="77" t="n"/>
      <c r="O73" s="77" t="n"/>
    </row>
    <row r="74" ht="15.75" customHeight="1" s="360">
      <c r="B74" s="343" t="n">
        <v>12</v>
      </c>
      <c r="C74" s="396" t="n"/>
      <c r="D74" s="346" t="n"/>
      <c r="E74" s="293" t="n"/>
      <c r="F74" s="293" t="n"/>
      <c r="G74" s="293" t="n"/>
      <c r="H74" s="293" t="n"/>
      <c r="I74" s="378" t="n"/>
      <c r="J74" s="379" t="n"/>
      <c r="K74" s="77" t="n"/>
      <c r="L74" s="77" t="n"/>
      <c r="M74" s="77" t="n"/>
      <c r="N74" s="77" t="n"/>
      <c r="O74" s="77" t="n"/>
    </row>
    <row r="75" ht="15.75" customHeight="1" s="360">
      <c r="B75" s="343" t="n">
        <v>13</v>
      </c>
      <c r="C75" s="396" t="n"/>
      <c r="D75" s="346" t="n"/>
      <c r="E75" s="396" t="n"/>
      <c r="F75" s="293" t="n"/>
      <c r="G75" s="293" t="n"/>
      <c r="H75" s="293" t="n"/>
      <c r="I75" s="293" t="n"/>
      <c r="J75" s="379" t="n"/>
      <c r="K75" s="77" t="n"/>
      <c r="L75" s="77" t="n"/>
      <c r="M75" s="77" t="n"/>
      <c r="N75" s="77" t="n"/>
      <c r="O75" s="77" t="n"/>
    </row>
    <row r="76" ht="15.75" customHeight="1" s="360">
      <c r="B76" s="343" t="n">
        <v>14</v>
      </c>
      <c r="C76" s="396" t="n"/>
      <c r="D76" s="346" t="n"/>
      <c r="E76" s="396" t="n"/>
      <c r="F76" s="293" t="n"/>
      <c r="G76" s="293" t="n"/>
      <c r="H76" s="293" t="n"/>
      <c r="I76" s="293" t="n"/>
      <c r="J76" s="379" t="n"/>
      <c r="K76" s="77" t="n"/>
      <c r="L76" s="77" t="n"/>
      <c r="M76" s="77" t="n"/>
      <c r="N76" s="77" t="n"/>
      <c r="O76" s="77" t="n"/>
    </row>
    <row r="77" ht="15.75" customHeight="1" s="360">
      <c r="B77" s="343" t="n">
        <v>15</v>
      </c>
      <c r="C77" s="396" t="n"/>
      <c r="D77" s="346" t="n"/>
      <c r="E77" s="396" t="n"/>
      <c r="F77" s="293" t="n"/>
      <c r="G77" s="293" t="n"/>
      <c r="H77" s="293" t="n"/>
      <c r="I77" s="293" t="n"/>
      <c r="J77" s="379" t="n"/>
      <c r="K77" s="77" t="n"/>
      <c r="L77" s="77" t="n"/>
      <c r="M77" s="77" t="n"/>
      <c r="N77" s="77" t="n"/>
      <c r="O77" s="77" t="n"/>
    </row>
    <row r="78" ht="15.75" customHeight="1" s="360">
      <c r="B78" s="343" t="n">
        <v>16</v>
      </c>
      <c r="C78" s="396" t="n"/>
      <c r="D78" s="346" t="n"/>
      <c r="E78" s="391" t="n"/>
      <c r="F78" s="293" t="n"/>
      <c r="G78" s="293" t="n"/>
      <c r="H78" s="293" t="n"/>
      <c r="I78" s="378" t="n"/>
      <c r="J78" s="379" t="n"/>
      <c r="K78" s="77" t="n"/>
      <c r="L78" s="77" t="n"/>
      <c r="M78" s="77" t="n"/>
      <c r="N78" s="77" t="n"/>
      <c r="O78" s="77" t="n"/>
    </row>
    <row r="79" ht="15.75" customHeight="1" s="360">
      <c r="B79" s="343" t="n">
        <v>17</v>
      </c>
      <c r="C79" s="396" t="n"/>
      <c r="D79" s="346" t="n"/>
      <c r="E79" s="293" t="n"/>
      <c r="F79" s="293" t="n"/>
      <c r="G79" s="293" t="n"/>
      <c r="H79" s="293" t="n"/>
      <c r="I79" s="378" t="n"/>
      <c r="J79" s="379" t="n"/>
      <c r="K79" s="77" t="n"/>
      <c r="L79" s="77" t="n"/>
      <c r="M79" s="77" t="n"/>
      <c r="N79" s="77" t="n"/>
      <c r="O79" s="77" t="n"/>
    </row>
    <row r="80" ht="15.75" customHeight="1" s="360">
      <c r="B80" s="343" t="n">
        <v>18</v>
      </c>
      <c r="C80" s="396" t="n"/>
      <c r="D80" s="346" t="n"/>
      <c r="E80" s="293" t="n"/>
      <c r="F80" s="293" t="n"/>
      <c r="G80" s="293" t="n"/>
      <c r="H80" s="293" t="n"/>
      <c r="I80" s="378" t="n"/>
      <c r="J80" s="379" t="n"/>
      <c r="K80" s="77" t="n"/>
      <c r="L80" s="77" t="n"/>
      <c r="M80" s="77" t="n"/>
      <c r="N80" s="77" t="n"/>
      <c r="O80" s="77" t="n"/>
    </row>
    <row r="81" ht="15.75" customHeight="1" s="360">
      <c r="B81" s="343" t="n">
        <v>19</v>
      </c>
      <c r="C81" s="396" t="n"/>
      <c r="D81" s="346" t="n"/>
      <c r="E81" s="293" t="n"/>
      <c r="F81" s="293" t="n"/>
      <c r="G81" s="293" t="n"/>
      <c r="H81" s="293" t="n"/>
      <c r="I81" s="378" t="n"/>
      <c r="J81" s="379" t="n"/>
      <c r="K81" s="77" t="n"/>
      <c r="L81" s="77" t="n"/>
      <c r="M81" s="77" t="n"/>
      <c r="N81" s="77" t="n"/>
      <c r="O81" s="77" t="n"/>
    </row>
    <row r="82" ht="15.75" customHeight="1" s="360">
      <c r="B82" s="343" t="n">
        <v>20</v>
      </c>
      <c r="C82" s="396" t="n"/>
      <c r="D82" s="346" t="n"/>
      <c r="E82" s="293" t="n"/>
      <c r="F82" s="293" t="n"/>
      <c r="G82" s="293" t="n"/>
      <c r="H82" s="293" t="n"/>
      <c r="I82" s="378" t="n"/>
      <c r="J82" s="379" t="n"/>
      <c r="K82" s="77" t="n"/>
      <c r="L82" s="77" t="n"/>
      <c r="M82" s="77" t="n"/>
      <c r="N82" s="77" t="n"/>
      <c r="O82" s="77" t="n"/>
    </row>
    <row r="83" ht="15.75" customHeight="1" s="360">
      <c r="B83" s="349" t="n">
        <v>21</v>
      </c>
      <c r="C83" s="391" t="n"/>
      <c r="D83" s="347" t="n"/>
      <c r="E83" s="391" t="n"/>
      <c r="F83" s="293" t="n"/>
      <c r="G83" s="293" t="n"/>
      <c r="H83" s="293" t="n"/>
      <c r="I83" s="378" t="n"/>
      <c r="J83" s="379" t="n"/>
      <c r="K83" s="77" t="n"/>
      <c r="L83" s="77" t="n"/>
      <c r="M83" s="77" t="n"/>
      <c r="N83" s="77" t="n"/>
      <c r="O83" s="77" t="n"/>
    </row>
    <row r="84" ht="15.75" customHeight="1" s="360"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</row>
    <row r="85" ht="15.75" customHeight="1" s="360"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</row>
    <row r="86" ht="15.75" customHeight="1" s="360"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</row>
    <row r="87" ht="15.75" customHeight="1" s="360"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</row>
    <row r="88" ht="15.75" customHeight="1" s="360"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</row>
    <row r="89" ht="15.75" customHeight="1" s="360"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</row>
    <row r="90" ht="15.75" customHeight="1" s="360">
      <c r="B90" s="77" t="n"/>
      <c r="C90" s="77" t="n"/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</row>
    <row r="91" ht="15.75" customHeight="1" s="360"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</row>
    <row r="92" ht="15.75" customHeight="1" s="360"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</row>
    <row r="93" ht="15.75" customHeight="1" s="360"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</row>
    <row r="94" ht="15.75" customHeight="1" s="360">
      <c r="B94" s="77" t="n"/>
      <c r="C94" s="77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</row>
    <row r="95" ht="15.75" customHeight="1" s="360"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</row>
    <row r="96" ht="15.75" customHeight="1" s="360"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</row>
    <row r="97" ht="15.75" customHeight="1" s="360"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</row>
    <row r="98" ht="15.75" customHeight="1" s="360">
      <c r="B98" s="77" t="n"/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</row>
    <row r="99" ht="15.75" customHeight="1" s="360"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</row>
    <row r="100" ht="15.75" customHeight="1" s="360"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</row>
    <row r="101" ht="15.75" customHeight="1" s="360"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</row>
    <row r="102" ht="15.75" customHeight="1" s="360"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</row>
    <row r="103" ht="15.75" customHeight="1" s="360"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</row>
    <row r="104" ht="15.75" customHeight="1" s="360"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</row>
    <row r="105" ht="15.75" customHeight="1" s="360"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</row>
    <row r="106" ht="15.75" customHeight="1" s="360"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</row>
    <row r="107" ht="15.75" customHeight="1" s="360"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</row>
    <row r="108" ht="15.75" customHeight="1" s="360"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</row>
    <row r="109" ht="15.75" customHeight="1" s="360"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</row>
    <row r="110" ht="15.75" customHeight="1" s="360"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</row>
    <row r="111" ht="15.75" customHeight="1" s="360"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</row>
    <row r="112" ht="15.75" customHeight="1" s="360"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</row>
    <row r="113" ht="15.75" customHeight="1" s="360"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</row>
    <row r="114" ht="15.75" customHeight="1" s="360"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</row>
    <row r="115" ht="15.75" customHeight="1" s="360"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</row>
    <row r="116" ht="15.75" customHeight="1" s="360"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</row>
    <row r="117" ht="15.75" customHeight="1" s="360"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</row>
    <row r="118" ht="15.75" customHeight="1" s="360"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</row>
    <row r="119" ht="15.75" customHeight="1" s="360"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</row>
    <row r="120" ht="15.75" customHeight="1" s="360"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</row>
    <row r="121" ht="15.75" customHeight="1" s="360"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</row>
    <row r="122" ht="15.75" customHeight="1" s="360"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</row>
    <row r="123" ht="15.75" customHeight="1" s="360"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</row>
    <row r="124" ht="15.75" customHeight="1" s="360"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</row>
    <row r="125" ht="15.75" customHeight="1" s="360"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</row>
    <row r="126" ht="15.75" customHeight="1" s="360">
      <c r="B126" s="77" t="n"/>
      <c r="C126" s="77" t="n"/>
      <c r="D126" s="77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</row>
    <row r="127" ht="15.75" customHeight="1" s="360"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</row>
    <row r="128" ht="15.75" customHeight="1" s="360"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</row>
    <row r="129" ht="15.75" customHeight="1" s="360"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</row>
    <row r="130" ht="15.75" customHeight="1" s="360">
      <c r="B130" s="77" t="n"/>
      <c r="C130" s="77" t="n"/>
      <c r="D130" s="77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</row>
    <row r="131" ht="15.75" customHeight="1" s="360"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</row>
    <row r="132" ht="15.75" customHeight="1" s="360"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</row>
    <row r="133" ht="15.75" customHeight="1" s="360"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</row>
    <row r="134" ht="15.75" customHeight="1" s="360"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</row>
    <row r="135" ht="15.75" customHeight="1" s="360"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</row>
    <row r="136" ht="15.75" customHeight="1" s="360"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</row>
    <row r="137" ht="15.75" customHeight="1" s="360"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</row>
    <row r="138" ht="15.75" customHeight="1" s="360"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</row>
    <row r="139" ht="15.75" customHeight="1" s="360"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</row>
    <row r="140" ht="15.75" customHeight="1" s="360"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</row>
    <row r="141" ht="15.75" customHeight="1" s="360"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</row>
    <row r="142" ht="15.75" customHeight="1" s="360"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</row>
    <row r="143" ht="15.75" customHeight="1" s="360"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</row>
    <row r="144" ht="15.75" customHeight="1" s="360"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</row>
    <row r="145" ht="15.75" customHeight="1" s="360"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</row>
    <row r="146" ht="15.75" customHeight="1" s="360"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</row>
    <row r="147" ht="15.75" customHeight="1" s="360"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</row>
    <row r="148" ht="15.75" customHeight="1" s="360"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</row>
    <row r="149" ht="15.75" customHeight="1" s="360"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</row>
    <row r="150" ht="15.75" customHeight="1" s="360"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</row>
    <row r="151" ht="15.75" customHeight="1" s="360"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</row>
    <row r="152" ht="15.75" customHeight="1" s="360">
      <c r="B152" s="77" t="n"/>
      <c r="C152" s="77" t="n"/>
      <c r="D152" s="77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</row>
    <row r="153" ht="15.75" customHeight="1" s="360"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</row>
    <row r="154" ht="15.75" customHeight="1" s="360">
      <c r="B154" s="77" t="n"/>
      <c r="C154" s="77" t="n"/>
      <c r="D154" s="77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</row>
    <row r="155" ht="15.75" customHeight="1" s="360"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</row>
    <row r="156" ht="15.75" customHeight="1" s="360">
      <c r="B156" s="77" t="n"/>
      <c r="C156" s="77" t="n"/>
      <c r="D156" s="77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</row>
    <row r="157" ht="15.75" customHeight="1" s="360"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</row>
    <row r="158" ht="15.75" customHeight="1" s="360">
      <c r="B158" s="77" t="n"/>
      <c r="C158" s="77" t="n"/>
      <c r="D158" s="77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</row>
    <row r="159" ht="15.75" customHeight="1" s="360"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</row>
    <row r="160" ht="15.75" customHeight="1" s="360">
      <c r="B160" s="77" t="n"/>
      <c r="C160" s="77" t="n"/>
      <c r="D160" s="77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</row>
    <row r="161" ht="15.75" customHeight="1" s="360"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</row>
    <row r="162" ht="15.75" customHeight="1" s="360"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</row>
    <row r="163" ht="15.75" customHeight="1" s="360"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</row>
    <row r="164" ht="15.75" customHeight="1" s="360"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</row>
    <row r="165" ht="15.75" customHeight="1" s="360"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</row>
    <row r="166" ht="15.75" customHeight="1" s="360"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</row>
    <row r="167" ht="15.75" customHeight="1" s="360"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</row>
    <row r="168" ht="15.75" customHeight="1" s="360"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</row>
    <row r="169" ht="15.75" customHeight="1" s="360"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</row>
    <row r="170" ht="15.75" customHeight="1" s="360"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</row>
    <row r="171" ht="15.75" customHeight="1" s="360"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</row>
    <row r="172" ht="15.75" customHeight="1" s="360"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</row>
    <row r="173" ht="15.75" customHeight="1" s="360"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</row>
    <row r="174" ht="15.75" customHeight="1" s="360"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</row>
    <row r="175" ht="15.75" customHeight="1" s="360"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</row>
    <row r="176" ht="15.75" customHeight="1" s="360"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</row>
    <row r="177" ht="15.75" customHeight="1" s="360"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</row>
    <row r="178" ht="15.75" customHeight="1" s="360"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</row>
    <row r="179" ht="15.75" customHeight="1" s="360"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</row>
    <row r="180" ht="15.75" customHeight="1" s="360"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</row>
    <row r="181" ht="15.75" customHeight="1" s="360"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</row>
    <row r="182" ht="15.75" customHeight="1" s="360"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</row>
    <row r="183" ht="15.75" customHeight="1" s="360"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</row>
    <row r="184" ht="15.75" customHeight="1" s="360"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</row>
    <row r="185" ht="15.75" customHeight="1" s="360"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</row>
    <row r="186" ht="15.75" customHeight="1" s="360"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</row>
    <row r="187" ht="15.75" customHeight="1" s="360"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</row>
    <row r="188" ht="15.75" customHeight="1" s="360"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</row>
    <row r="189" ht="15.75" customHeight="1" s="360"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</row>
    <row r="190" ht="15.75" customHeight="1" s="360"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</row>
    <row r="191" ht="15.75" customHeight="1" s="360"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</row>
    <row r="192" ht="15.75" customHeight="1" s="360"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</row>
    <row r="193" ht="15.75" customHeight="1" s="360"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</row>
    <row r="194" ht="15.75" customHeight="1" s="360"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</row>
    <row r="195" ht="15.75" customHeight="1" s="360"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</row>
    <row r="196" ht="15.75" customHeight="1" s="360"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</row>
    <row r="197" ht="15.75" customHeight="1" s="360"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</row>
    <row r="198" ht="15.75" customHeight="1" s="360"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</row>
    <row r="199" ht="15.75" customHeight="1" s="360"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</row>
    <row r="200" ht="15.75" customHeight="1" s="360"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</row>
    <row r="201" ht="15.75" customHeight="1" s="360"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</row>
    <row r="202" ht="15.75" customHeight="1" s="360"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</row>
    <row r="203" ht="15.75" customHeight="1" s="360"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</row>
    <row r="204" ht="15.75" customHeight="1" s="360"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</row>
    <row r="205" ht="15.75" customHeight="1" s="360"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</row>
    <row r="206" ht="15.75" customHeight="1" s="360"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</row>
    <row r="207" ht="15.75" customHeight="1" s="360"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</row>
    <row r="208" ht="15.75" customHeight="1" s="360"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</row>
    <row r="209" ht="15.75" customHeight="1" s="360"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</row>
    <row r="210" ht="15.75" customHeight="1" s="360"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</row>
    <row r="211" ht="15.75" customHeight="1" s="360"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</row>
    <row r="212" ht="15.75" customHeight="1" s="360"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</row>
    <row r="213" ht="15.75" customHeight="1" s="360"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</row>
    <row r="214" ht="15.75" customHeight="1" s="360"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</row>
    <row r="215" ht="15.75" customHeight="1" s="360"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</row>
    <row r="216" ht="15.75" customHeight="1" s="360"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</row>
    <row r="217" ht="15.75" customHeight="1" s="360"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</row>
    <row r="218" ht="15.75" customHeight="1" s="360"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</row>
    <row r="219" ht="15.75" customHeight="1" s="360"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</row>
    <row r="220" ht="15.75" customHeight="1" s="360"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</row>
    <row r="221" ht="15.75" customHeight="1" s="360"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</row>
    <row r="222" ht="15.75" customHeight="1" s="360"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</row>
    <row r="223" ht="15.75" customHeight="1" s="360"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</row>
    <row r="224" ht="15.75" customHeight="1" s="360"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</row>
    <row r="225" ht="15.75" customHeight="1" s="360"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</row>
    <row r="226" ht="15.75" customHeight="1" s="360"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</row>
    <row r="227" ht="15.75" customHeight="1" s="360"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</row>
    <row r="228" ht="15.75" customHeight="1" s="360"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</row>
    <row r="229" ht="15.75" customHeight="1" s="360"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</row>
    <row r="230" ht="15.75" customHeight="1" s="360"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  <c r="O230" s="77" t="n"/>
    </row>
    <row r="231" ht="15.75" customHeight="1" s="360"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</row>
    <row r="232" ht="15.75" customHeight="1" s="360"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</row>
    <row r="233" ht="15.75" customHeight="1" s="360"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</row>
    <row r="234" ht="15.75" customHeight="1" s="360"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</row>
    <row r="235" ht="15.75" customHeight="1" s="360"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</row>
    <row r="236" ht="15.75" customHeight="1" s="360"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</row>
    <row r="237" ht="15.75" customHeight="1" s="360"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</row>
    <row r="238" ht="15.75" customHeight="1" s="360"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</row>
    <row r="239" ht="15.75" customHeight="1" s="360"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</row>
    <row r="240" ht="15.75" customHeight="1" s="360"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</row>
    <row r="241" ht="15.75" customHeight="1" s="360"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</row>
    <row r="242" ht="15.75" customHeight="1" s="360"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</row>
    <row r="243" ht="15.75" customHeight="1" s="360"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</row>
    <row r="244" ht="15.75" customHeight="1" s="360"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</row>
    <row r="245" ht="15.75" customHeight="1" s="360"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</row>
    <row r="246" ht="15.75" customHeight="1" s="360"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</row>
    <row r="247" ht="15.75" customHeight="1" s="360"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</row>
    <row r="248" ht="15.75" customHeight="1" s="360"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</row>
    <row r="249" ht="15.75" customHeight="1" s="360"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</row>
    <row r="250" ht="15.75" customHeight="1" s="360"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</row>
    <row r="251" ht="15.75" customHeight="1" s="360"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</row>
    <row r="252" ht="15.75" customHeight="1" s="360"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</row>
    <row r="253" ht="15.75" customHeight="1" s="360"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</row>
    <row r="254" ht="15.75" customHeight="1" s="360"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</row>
    <row r="255" ht="15.75" customHeight="1" s="360"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</row>
    <row r="256" ht="15.75" customHeight="1" s="360"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</row>
    <row r="257" ht="15.75" customHeight="1" s="360"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</row>
    <row r="258" ht="15.75" customHeight="1" s="360"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</row>
    <row r="259" ht="15.75" customHeight="1" s="360"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</row>
    <row r="260" ht="15.75" customHeight="1" s="360"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</row>
    <row r="261" ht="15.75" customHeight="1" s="360"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</row>
    <row r="262" ht="15.75" customHeight="1" s="360"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</row>
    <row r="263" ht="15.75" customHeight="1" s="360"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</row>
    <row r="264" ht="15.75" customHeight="1" s="360"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</row>
    <row r="265" ht="15.75" customHeight="1" s="360"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</row>
    <row r="266" ht="15.75" customHeight="1" s="360"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</row>
    <row r="267" ht="15.75" customHeight="1" s="360"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</row>
    <row r="268" ht="15.75" customHeight="1" s="360"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</row>
    <row r="269" ht="15.75" customHeight="1" s="360"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</row>
    <row r="270" ht="15.75" customHeight="1" s="360"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</row>
    <row r="271" ht="15.75" customHeight="1" s="360"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</row>
    <row r="272" ht="15.75" customHeight="1" s="360"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</row>
    <row r="273" ht="15.75" customHeight="1" s="360"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</row>
    <row r="274" ht="15.75" customHeight="1" s="360"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</row>
    <row r="275" ht="15.75" customHeight="1" s="360"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</row>
    <row r="276" ht="15.75" customHeight="1" s="360"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</row>
    <row r="277" ht="15.75" customHeight="1" s="360"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</row>
    <row r="278" ht="15.75" customHeight="1" s="360"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</row>
    <row r="279" ht="15.75" customHeight="1" s="360"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</row>
    <row r="280" ht="15.75" customHeight="1" s="360"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</row>
    <row r="281" ht="15.75" customHeight="1" s="360"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</row>
    <row r="282" ht="15.75" customHeight="1" s="360"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</row>
    <row r="283" ht="15.75" customHeight="1" s="360"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</row>
    <row r="284" ht="15.75" customHeight="1" s="360"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</row>
    <row r="285" ht="15.75" customHeight="1" s="360"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</row>
    <row r="286" ht="15.75" customHeight="1" s="360"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</row>
    <row r="287" ht="15.75" customHeight="1" s="360"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</row>
    <row r="288" ht="15.75" customHeight="1" s="360"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</row>
    <row r="289" ht="15.75" customHeight="1" s="360"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</row>
    <row r="290" ht="15.75" customHeight="1" s="360"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</row>
    <row r="291" ht="15.75" customHeight="1" s="360"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</row>
    <row r="292" ht="15.75" customHeight="1" s="360"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</row>
    <row r="293" ht="15.75" customHeight="1" s="360"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</row>
    <row r="294" ht="15.75" customHeight="1" s="360"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</row>
    <row r="295" ht="15.75" customHeight="1" s="360"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</row>
    <row r="296" ht="15.75" customHeight="1" s="360"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</row>
    <row r="297" ht="15.75" customHeight="1" s="360"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</row>
    <row r="298" ht="15.75" customHeight="1" s="360"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</row>
    <row r="299" ht="15.75" customHeight="1" s="360"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</row>
    <row r="300" ht="15.75" customHeight="1" s="360"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</row>
    <row r="301" ht="15.75" customHeight="1" s="360"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</row>
    <row r="302" ht="15.75" customHeight="1" s="360"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</row>
    <row r="303" ht="15.75" customHeight="1" s="360"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</row>
    <row r="304" ht="15.75" customHeight="1" s="360"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</row>
    <row r="305" ht="15.75" customHeight="1" s="360"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</row>
    <row r="306" ht="15.75" customHeight="1" s="360"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</row>
    <row r="307" ht="15.75" customHeight="1" s="360"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</row>
    <row r="308" ht="15.75" customHeight="1" s="360"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</row>
    <row r="309" ht="15.75" customHeight="1" s="360"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</row>
    <row r="310" ht="15.75" customHeight="1" s="360"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</row>
    <row r="311" ht="15.75" customHeight="1" s="360"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</row>
    <row r="312" ht="15.75" customHeight="1" s="360"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</row>
    <row r="313" ht="15.75" customHeight="1" s="360"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</row>
    <row r="314" ht="15.75" customHeight="1" s="360"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</row>
    <row r="315" ht="15.75" customHeight="1" s="360"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</row>
    <row r="316" ht="15.75" customHeight="1" s="360"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</row>
    <row r="317" ht="15.75" customHeight="1" s="360"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</row>
    <row r="318" ht="15.75" customHeight="1" s="360"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</row>
    <row r="319" ht="15.75" customHeight="1" s="360"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</row>
    <row r="320" ht="15.75" customHeight="1" s="360"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</row>
    <row r="321" ht="15.75" customHeight="1" s="360"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</row>
    <row r="322" ht="15.75" customHeight="1" s="360"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</row>
    <row r="323" ht="15.75" customHeight="1" s="360"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</row>
    <row r="324" ht="15.75" customHeight="1" s="360"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</row>
    <row r="325" ht="15.75" customHeight="1" s="360"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</row>
    <row r="326" ht="15.75" customHeight="1" s="360"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</row>
    <row r="327" ht="15.75" customHeight="1" s="360"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</row>
    <row r="328" ht="15.75" customHeight="1" s="360"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</row>
    <row r="329" ht="15.75" customHeight="1" s="360"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</row>
    <row r="330" ht="15.75" customHeight="1" s="360"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</row>
    <row r="331" ht="15.75" customHeight="1" s="360"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</row>
    <row r="332" ht="15.75" customHeight="1" s="360"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</row>
    <row r="333" ht="15.75" customHeight="1" s="360"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</row>
    <row r="334" ht="15.75" customHeight="1" s="360"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</row>
    <row r="335" ht="15.75" customHeight="1" s="360"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</row>
    <row r="336" ht="15.75" customHeight="1" s="360"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</row>
    <row r="337" ht="15.75" customHeight="1" s="360"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</row>
    <row r="338" ht="15.75" customHeight="1" s="360"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</row>
    <row r="339" ht="15.75" customHeight="1" s="360"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</row>
    <row r="340" ht="15.75" customHeight="1" s="360"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</row>
    <row r="341" ht="15.75" customHeight="1" s="360"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</row>
    <row r="342" ht="15.75" customHeight="1" s="360"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  <c r="O342" s="77" t="n"/>
    </row>
    <row r="343" ht="15.75" customHeight="1" s="360"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</row>
    <row r="344" ht="15.75" customHeight="1" s="360"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  <c r="O344" s="77" t="n"/>
    </row>
    <row r="345" ht="15.75" customHeight="1" s="360"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</row>
    <row r="346" ht="15.75" customHeight="1" s="360"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  <c r="O346" s="77" t="n"/>
    </row>
    <row r="347" ht="15.75" customHeight="1" s="360"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</row>
    <row r="348" ht="15.75" customHeight="1" s="360"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  <c r="O348" s="77" t="n"/>
    </row>
    <row r="349" ht="15.75" customHeight="1" s="360"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</row>
    <row r="350" ht="15.75" customHeight="1" s="360"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  <c r="O350" s="77" t="n"/>
    </row>
    <row r="351" ht="15.75" customHeight="1" s="360"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</row>
    <row r="352" ht="15.75" customHeight="1" s="360"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  <c r="O352" s="77" t="n"/>
    </row>
    <row r="353" ht="15.75" customHeight="1" s="360"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</row>
    <row r="354" ht="15.75" customHeight="1" s="360"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  <c r="O354" s="77" t="n"/>
    </row>
    <row r="355" ht="15.75" customHeight="1" s="360"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</row>
    <row r="356" ht="15.75" customHeight="1" s="360"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  <c r="O356" s="77" t="n"/>
    </row>
    <row r="357" ht="15.75" customHeight="1" s="360"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</row>
    <row r="358" ht="15.75" customHeight="1" s="360"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  <c r="O358" s="77" t="n"/>
    </row>
    <row r="359" ht="15.75" customHeight="1" s="360"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</row>
    <row r="360" ht="15.75" customHeight="1" s="360"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  <c r="O360" s="77" t="n"/>
    </row>
    <row r="361" ht="15.75" customHeight="1" s="360"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</row>
    <row r="362" ht="15.75" customHeight="1" s="360"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  <c r="O362" s="77" t="n"/>
    </row>
    <row r="363" ht="15.75" customHeight="1" s="360"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</row>
    <row r="364" ht="15.75" customHeight="1" s="360"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  <c r="O364" s="77" t="n"/>
    </row>
    <row r="365" ht="15.75" customHeight="1" s="360"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</row>
    <row r="366" ht="15.75" customHeight="1" s="360"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  <c r="O366" s="77" t="n"/>
    </row>
    <row r="367" ht="15.75" customHeight="1" s="360"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</row>
    <row r="368" ht="15.75" customHeight="1" s="360"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  <c r="O368" s="77" t="n"/>
    </row>
    <row r="369" ht="15.75" customHeight="1" s="360"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</row>
    <row r="370" ht="15.75" customHeight="1" s="360"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  <c r="O370" s="77" t="n"/>
    </row>
    <row r="371" ht="15.75" customHeight="1" s="360"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</row>
    <row r="372" ht="15.75" customHeight="1" s="360"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  <c r="O372" s="77" t="n"/>
    </row>
    <row r="373" ht="15.75" customHeight="1" s="360"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</row>
    <row r="374" ht="15.75" customHeight="1" s="360"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  <c r="O374" s="77" t="n"/>
    </row>
    <row r="375" ht="15.75" customHeight="1" s="360"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</row>
    <row r="376" ht="15.75" customHeight="1" s="360"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  <c r="O376" s="77" t="n"/>
    </row>
    <row r="377" ht="15.75" customHeight="1" s="360"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</row>
    <row r="378" ht="15.75" customHeight="1" s="360"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  <c r="O378" s="77" t="n"/>
    </row>
    <row r="379" ht="15.75" customHeight="1" s="360"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</row>
    <row r="380" ht="15.75" customHeight="1" s="360"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  <c r="O380" s="77" t="n"/>
    </row>
    <row r="381" ht="15.75" customHeight="1" s="360"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</row>
    <row r="382" ht="15.75" customHeight="1" s="360"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  <c r="O382" s="77" t="n"/>
    </row>
    <row r="383" ht="15.75" customHeight="1" s="360"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</row>
    <row r="384" ht="15.75" customHeight="1" s="360"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  <c r="O384" s="77" t="n"/>
    </row>
    <row r="385" ht="15.75" customHeight="1" s="360"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</row>
    <row r="386" ht="15.75" customHeight="1" s="360"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  <c r="O386" s="77" t="n"/>
    </row>
    <row r="387" ht="15.75" customHeight="1" s="360"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</row>
    <row r="388" ht="15.75" customHeight="1" s="360"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  <c r="O388" s="77" t="n"/>
    </row>
    <row r="389" ht="15.75" customHeight="1" s="360"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</row>
    <row r="390" ht="15.75" customHeight="1" s="360"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  <c r="O390" s="77" t="n"/>
    </row>
    <row r="391" ht="15.75" customHeight="1" s="360"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</row>
    <row r="392" ht="15.75" customHeight="1" s="360"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  <c r="O392" s="77" t="n"/>
    </row>
    <row r="393" ht="15.75" customHeight="1" s="360"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</row>
    <row r="394" ht="15.75" customHeight="1" s="360"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  <c r="O394" s="77" t="n"/>
    </row>
    <row r="395" ht="15.75" customHeight="1" s="360"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</row>
    <row r="396" ht="15.75" customHeight="1" s="360"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  <c r="O396" s="77" t="n"/>
    </row>
    <row r="397" ht="15.75" customHeight="1" s="360"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</row>
    <row r="398" ht="15.75" customHeight="1" s="360"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  <c r="O398" s="77" t="n"/>
    </row>
    <row r="399" ht="15.75" customHeight="1" s="360"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</row>
    <row r="400" ht="15.75" customHeight="1" s="360"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  <c r="O400" s="77" t="n"/>
    </row>
    <row r="401" ht="15.75" customHeight="1" s="360"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</row>
    <row r="402" ht="15.75" customHeight="1" s="360"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  <c r="O402" s="77" t="n"/>
    </row>
    <row r="403" ht="15.75" customHeight="1" s="360"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</row>
    <row r="404" ht="15.75" customHeight="1" s="360"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  <c r="O404" s="77" t="n"/>
    </row>
    <row r="405" ht="15.75" customHeight="1" s="360"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</row>
    <row r="406" ht="15.75" customHeight="1" s="360"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  <c r="O406" s="77" t="n"/>
    </row>
    <row r="407" ht="15.75" customHeight="1" s="360"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</row>
    <row r="408" ht="15.75" customHeight="1" s="360"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  <c r="O408" s="77" t="n"/>
    </row>
    <row r="409" ht="15.75" customHeight="1" s="360"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</row>
    <row r="410" ht="15.75" customHeight="1" s="360"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  <c r="O410" s="77" t="n"/>
    </row>
    <row r="411" ht="15.75" customHeight="1" s="360"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</row>
    <row r="412" ht="15.75" customHeight="1" s="360"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  <c r="O412" s="77" t="n"/>
    </row>
    <row r="413" ht="15.75" customHeight="1" s="360"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</row>
    <row r="414" ht="15.75" customHeight="1" s="360"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  <c r="O414" s="77" t="n"/>
    </row>
    <row r="415" ht="15.75" customHeight="1" s="360"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</row>
    <row r="416" ht="15.75" customHeight="1" s="360"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  <c r="O416" s="77" t="n"/>
    </row>
    <row r="417" ht="15.75" customHeight="1" s="360"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</row>
    <row r="418" ht="15.75" customHeight="1" s="360"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  <c r="O418" s="77" t="n"/>
    </row>
    <row r="419" ht="15.75" customHeight="1" s="360"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</row>
    <row r="420" ht="15.75" customHeight="1" s="360"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  <c r="O420" s="77" t="n"/>
    </row>
    <row r="421" ht="15.75" customHeight="1" s="360"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</row>
    <row r="422" ht="15.75" customHeight="1" s="360"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  <c r="O422" s="77" t="n"/>
    </row>
    <row r="423" ht="15.75" customHeight="1" s="360"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</row>
    <row r="424" ht="15.75" customHeight="1" s="360"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  <c r="O424" s="77" t="n"/>
    </row>
    <row r="425" ht="15.75" customHeight="1" s="360"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</row>
    <row r="426" ht="15.75" customHeight="1" s="360"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  <c r="O426" s="77" t="n"/>
    </row>
    <row r="427" ht="15.75" customHeight="1" s="360"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</row>
    <row r="428" ht="15.75" customHeight="1" s="360"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  <c r="O428" s="77" t="n"/>
    </row>
    <row r="429" ht="15.75" customHeight="1" s="360"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</row>
    <row r="430" ht="15.75" customHeight="1" s="360"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  <c r="O430" s="77" t="n"/>
    </row>
    <row r="431" ht="15.75" customHeight="1" s="360"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</row>
    <row r="432" ht="15.75" customHeight="1" s="360"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  <c r="O432" s="77" t="n"/>
    </row>
    <row r="433" ht="15.75" customHeight="1" s="360"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</row>
    <row r="434" ht="15.75" customHeight="1" s="360"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  <c r="O434" s="77" t="n"/>
    </row>
    <row r="435" ht="15.75" customHeight="1" s="360"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</row>
    <row r="436" ht="15.75" customHeight="1" s="360"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  <c r="O436" s="77" t="n"/>
    </row>
    <row r="437" ht="15.75" customHeight="1" s="360"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</row>
    <row r="438" ht="15.75" customHeight="1" s="360"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  <c r="O438" s="77" t="n"/>
    </row>
    <row r="439" ht="15.75" customHeight="1" s="360"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</row>
    <row r="440" ht="15.75" customHeight="1" s="360"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  <c r="O440" s="77" t="n"/>
    </row>
    <row r="441" ht="15.75" customHeight="1" s="360"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</row>
    <row r="442" ht="15.75" customHeight="1" s="360"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  <c r="O442" s="77" t="n"/>
    </row>
    <row r="443" ht="15.75" customHeight="1" s="360"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</row>
    <row r="444" ht="15.75" customHeight="1" s="360"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  <c r="O444" s="77" t="n"/>
    </row>
    <row r="445" ht="15.75" customHeight="1" s="360"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</row>
    <row r="446" ht="15.75" customHeight="1" s="360"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  <c r="O446" s="77" t="n"/>
    </row>
    <row r="447" ht="15.75" customHeight="1" s="360"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</row>
    <row r="448" ht="15.75" customHeight="1" s="360"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  <c r="O448" s="77" t="n"/>
    </row>
    <row r="449" ht="15.75" customHeight="1" s="360"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</row>
    <row r="450" ht="15.75" customHeight="1" s="360"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  <c r="O450" s="77" t="n"/>
    </row>
    <row r="451" ht="15.75" customHeight="1" s="360"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</row>
    <row r="452" ht="15.75" customHeight="1" s="360"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  <c r="O452" s="77" t="n"/>
    </row>
    <row r="453" ht="15.75" customHeight="1" s="360"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</row>
    <row r="454" ht="15.75" customHeight="1" s="360"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  <c r="O454" s="77" t="n"/>
    </row>
    <row r="455" ht="15.75" customHeight="1" s="360"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</row>
    <row r="456" ht="15.75" customHeight="1" s="360"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  <c r="O456" s="77" t="n"/>
    </row>
    <row r="457" ht="15.75" customHeight="1" s="360"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</row>
    <row r="458" ht="15.75" customHeight="1" s="360"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  <c r="O458" s="77" t="n"/>
    </row>
    <row r="459" ht="15.75" customHeight="1" s="360"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</row>
    <row r="460" ht="15.75" customHeight="1" s="360"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  <c r="O460" s="77" t="n"/>
    </row>
    <row r="461" ht="15.75" customHeight="1" s="360"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</row>
    <row r="462" ht="15.75" customHeight="1" s="360"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  <c r="O462" s="77" t="n"/>
    </row>
    <row r="463" ht="15.75" customHeight="1" s="360"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</row>
    <row r="464" ht="15.75" customHeight="1" s="360"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  <c r="O464" s="77" t="n"/>
    </row>
    <row r="465" ht="15.75" customHeight="1" s="360"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</row>
    <row r="466" ht="15.75" customHeight="1" s="360"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  <c r="O466" s="77" t="n"/>
    </row>
    <row r="467" ht="15.75" customHeight="1" s="360"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</row>
    <row r="468" ht="15.75" customHeight="1" s="360"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  <c r="O468" s="77" t="n"/>
    </row>
    <row r="469" ht="15.75" customHeight="1" s="360"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</row>
    <row r="470" ht="15.75" customHeight="1" s="360"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  <c r="O470" s="77" t="n"/>
    </row>
    <row r="471" ht="15.75" customHeight="1" s="360"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</row>
    <row r="472" ht="15.75" customHeight="1" s="360"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  <c r="O472" s="77" t="n"/>
    </row>
    <row r="473" ht="15.75" customHeight="1" s="360"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</row>
    <row r="474" ht="15.75" customHeight="1" s="360"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  <c r="O474" s="77" t="n"/>
    </row>
    <row r="475" ht="15.75" customHeight="1" s="360"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</row>
    <row r="476" ht="15.75" customHeight="1" s="360"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  <c r="O476" s="77" t="n"/>
    </row>
    <row r="477" ht="15.75" customHeight="1" s="360"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</row>
    <row r="478" ht="15.75" customHeight="1" s="360"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  <c r="O478" s="77" t="n"/>
    </row>
    <row r="479" ht="15.75" customHeight="1" s="360"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</row>
    <row r="480" ht="15.75" customHeight="1" s="360"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  <c r="O480" s="77" t="n"/>
    </row>
    <row r="481" ht="15.75" customHeight="1" s="360"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</row>
    <row r="482" ht="15.75" customHeight="1" s="360"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  <c r="O482" s="77" t="n"/>
    </row>
    <row r="483" ht="15.75" customHeight="1" s="360"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</row>
    <row r="484" ht="15.75" customHeight="1" s="360"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  <c r="O484" s="77" t="n"/>
    </row>
    <row r="485" ht="15.75" customHeight="1" s="360"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</row>
    <row r="486" ht="15.75" customHeight="1" s="360"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  <c r="O486" s="77" t="n"/>
    </row>
    <row r="487" ht="15.75" customHeight="1" s="360"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</row>
    <row r="488" ht="15.75" customHeight="1" s="360"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  <c r="O488" s="77" t="n"/>
    </row>
    <row r="489" ht="15.75" customHeight="1" s="360"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</row>
    <row r="490" ht="15.75" customHeight="1" s="360"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  <c r="O490" s="77" t="n"/>
    </row>
    <row r="491" ht="15.75" customHeight="1" s="360"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</row>
    <row r="492" ht="15.75" customHeight="1" s="360"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  <c r="O492" s="77" t="n"/>
    </row>
    <row r="493" ht="15.75" customHeight="1" s="360"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</row>
    <row r="494" ht="15.75" customHeight="1" s="360"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  <c r="O494" s="77" t="n"/>
    </row>
    <row r="495" ht="15.75" customHeight="1" s="360"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</row>
    <row r="496" ht="15.75" customHeight="1" s="360"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  <c r="O496" s="77" t="n"/>
    </row>
    <row r="497" ht="15.75" customHeight="1" s="360"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</row>
    <row r="498" ht="15.75" customHeight="1" s="360"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  <c r="O498" s="77" t="n"/>
    </row>
    <row r="499" ht="15.75" customHeight="1" s="360"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</row>
    <row r="500" ht="15.75" customHeight="1" s="360"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  <c r="O500" s="77" t="n"/>
    </row>
    <row r="501" ht="15.75" customHeight="1" s="360"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</row>
    <row r="502" ht="15.75" customHeight="1" s="360"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  <c r="O502" s="77" t="n"/>
    </row>
    <row r="503" ht="15.75" customHeight="1" s="360"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</row>
    <row r="504" ht="15.75" customHeight="1" s="360"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  <c r="O504" s="77" t="n"/>
    </row>
    <row r="505" ht="15.75" customHeight="1" s="360"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</row>
    <row r="506" ht="15.75" customHeight="1" s="360"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  <c r="O506" s="77" t="n"/>
    </row>
    <row r="507" ht="15.75" customHeight="1" s="360"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</row>
    <row r="508" ht="15.75" customHeight="1" s="360"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  <c r="O508" s="77" t="n"/>
    </row>
    <row r="509" ht="15.75" customHeight="1" s="360"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</row>
    <row r="510" ht="15.75" customHeight="1" s="360"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  <c r="O510" s="77" t="n"/>
    </row>
    <row r="511" ht="15.75" customHeight="1" s="360"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</row>
    <row r="512" ht="15.75" customHeight="1" s="360"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  <c r="O512" s="77" t="n"/>
    </row>
    <row r="513" ht="15.75" customHeight="1" s="360"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</row>
    <row r="514" ht="15.75" customHeight="1" s="360"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  <c r="O514" s="77" t="n"/>
    </row>
    <row r="515" ht="15.75" customHeight="1" s="360"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</row>
    <row r="516" ht="15.75" customHeight="1" s="360"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  <c r="O516" s="77" t="n"/>
    </row>
    <row r="517" ht="15.75" customHeight="1" s="360"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</row>
    <row r="518" ht="15.75" customHeight="1" s="360"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  <c r="O518" s="77" t="n"/>
    </row>
    <row r="519" ht="15.75" customHeight="1" s="360"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</row>
    <row r="520" ht="15.75" customHeight="1" s="360"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  <c r="O520" s="77" t="n"/>
    </row>
    <row r="521" ht="15.75" customHeight="1" s="360"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</row>
    <row r="522" ht="15.75" customHeight="1" s="360"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  <c r="O522" s="77" t="n"/>
    </row>
    <row r="523" ht="15.75" customHeight="1" s="360"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</row>
    <row r="524" ht="15.75" customHeight="1" s="360"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  <c r="O524" s="77" t="n"/>
    </row>
    <row r="525" ht="15.75" customHeight="1" s="360"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</row>
    <row r="526" ht="15.75" customHeight="1" s="360"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  <c r="O526" s="77" t="n"/>
    </row>
    <row r="527" ht="15.75" customHeight="1" s="360"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</row>
    <row r="528" ht="15.75" customHeight="1" s="360"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  <c r="O528" s="77" t="n"/>
    </row>
    <row r="529" ht="15.75" customHeight="1" s="360"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</row>
    <row r="530" ht="15.75" customHeight="1" s="360"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  <c r="O530" s="77" t="n"/>
    </row>
    <row r="531" ht="15.75" customHeight="1" s="360"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</row>
    <row r="532" ht="15.75" customHeight="1" s="360"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  <c r="O532" s="77" t="n"/>
    </row>
    <row r="533" ht="15.75" customHeight="1" s="360"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</row>
    <row r="534" ht="15.75" customHeight="1" s="360"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  <c r="O534" s="77" t="n"/>
    </row>
    <row r="535" ht="15.75" customHeight="1" s="360"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</row>
    <row r="536" ht="15.75" customHeight="1" s="360"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  <c r="O536" s="77" t="n"/>
    </row>
    <row r="537" ht="15.75" customHeight="1" s="360"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</row>
    <row r="538" ht="15.75" customHeight="1" s="360"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  <c r="O538" s="77" t="n"/>
    </row>
    <row r="539" ht="15.75" customHeight="1" s="360"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</row>
    <row r="540" ht="15.75" customHeight="1" s="360"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  <c r="O540" s="77" t="n"/>
    </row>
    <row r="541" ht="15.75" customHeight="1" s="360"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</row>
    <row r="542" ht="15.75" customHeight="1" s="360"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  <c r="O542" s="77" t="n"/>
    </row>
    <row r="543" ht="15.75" customHeight="1" s="360"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</row>
    <row r="544" ht="15.75" customHeight="1" s="360"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  <c r="O544" s="77" t="n"/>
    </row>
    <row r="545" ht="15.75" customHeight="1" s="360"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</row>
    <row r="546" ht="15.75" customHeight="1" s="360"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  <c r="O546" s="77" t="n"/>
    </row>
    <row r="547" ht="15.75" customHeight="1" s="360"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</row>
    <row r="548" ht="15.75" customHeight="1" s="360"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  <c r="O548" s="77" t="n"/>
    </row>
    <row r="549" ht="15.75" customHeight="1" s="360"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</row>
    <row r="550" ht="15.75" customHeight="1" s="360"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  <c r="O550" s="77" t="n"/>
    </row>
    <row r="551" ht="15.75" customHeight="1" s="360"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</row>
    <row r="552" ht="15.75" customHeight="1" s="360"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  <c r="O552" s="77" t="n"/>
    </row>
    <row r="553" ht="15.75" customHeight="1" s="360"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</row>
    <row r="554" ht="15.75" customHeight="1" s="360"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  <c r="O554" s="77" t="n"/>
    </row>
    <row r="555" ht="15.75" customHeight="1" s="360"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</row>
    <row r="556" ht="15.75" customHeight="1" s="360"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  <c r="O556" s="77" t="n"/>
    </row>
    <row r="557" ht="15.75" customHeight="1" s="360"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</row>
    <row r="558" ht="15.75" customHeight="1" s="360"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  <c r="O558" s="77" t="n"/>
    </row>
    <row r="559" ht="15.75" customHeight="1" s="360"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</row>
    <row r="560" ht="15.75" customHeight="1" s="360"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  <c r="O560" s="77" t="n"/>
    </row>
    <row r="561" ht="15.75" customHeight="1" s="360"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</row>
    <row r="562" ht="15.75" customHeight="1" s="360"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  <c r="O562" s="77" t="n"/>
    </row>
    <row r="563" ht="15.75" customHeight="1" s="360"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</row>
    <row r="564" ht="15.75" customHeight="1" s="360"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  <c r="O564" s="77" t="n"/>
    </row>
    <row r="565" ht="15.75" customHeight="1" s="360"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</row>
    <row r="566" ht="15.75" customHeight="1" s="360"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  <c r="O566" s="77" t="n"/>
    </row>
    <row r="567" ht="15.75" customHeight="1" s="360"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</row>
    <row r="568" ht="15.75" customHeight="1" s="360"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  <c r="O568" s="77" t="n"/>
    </row>
    <row r="569" ht="15.75" customHeight="1" s="360"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</row>
    <row r="570" ht="15.75" customHeight="1" s="360"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  <c r="O570" s="77" t="n"/>
    </row>
    <row r="571" ht="15.75" customHeight="1" s="360"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</row>
    <row r="572" ht="15.75" customHeight="1" s="360"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  <c r="O572" s="77" t="n"/>
    </row>
    <row r="573" ht="15.75" customHeight="1" s="360"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</row>
    <row r="574" ht="15.75" customHeight="1" s="360"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  <c r="O574" s="77" t="n"/>
    </row>
    <row r="575" ht="15.75" customHeight="1" s="360"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</row>
    <row r="576" ht="15.75" customHeight="1" s="360"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  <c r="O576" s="77" t="n"/>
    </row>
    <row r="577" ht="15.75" customHeight="1" s="360"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</row>
    <row r="578" ht="15.75" customHeight="1" s="360"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  <c r="O578" s="77" t="n"/>
    </row>
    <row r="579" ht="15.75" customHeight="1" s="360"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</row>
    <row r="580" ht="15.75" customHeight="1" s="360"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  <c r="O580" s="77" t="n"/>
    </row>
    <row r="581" ht="15.75" customHeight="1" s="360"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</row>
    <row r="582" ht="15.75" customHeight="1" s="360"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  <c r="O582" s="77" t="n"/>
    </row>
    <row r="583" ht="15.75" customHeight="1" s="360"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</row>
    <row r="584" ht="15.75" customHeight="1" s="360"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  <c r="O584" s="77" t="n"/>
    </row>
    <row r="585" ht="15.75" customHeight="1" s="360"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</row>
    <row r="586" ht="15.75" customHeight="1" s="360"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  <c r="O586" s="77" t="n"/>
    </row>
    <row r="587" ht="15.75" customHeight="1" s="360"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</row>
    <row r="588" ht="15.75" customHeight="1" s="360"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  <c r="O588" s="77" t="n"/>
    </row>
    <row r="589" ht="15.75" customHeight="1" s="360"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</row>
    <row r="590" ht="15.75" customHeight="1" s="360"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  <c r="O590" s="77" t="n"/>
    </row>
    <row r="591" ht="15.75" customHeight="1" s="360"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</row>
    <row r="592" ht="15.75" customHeight="1" s="360"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  <c r="O592" s="77" t="n"/>
    </row>
    <row r="593" ht="15.75" customHeight="1" s="360"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</row>
    <row r="594" ht="15.75" customHeight="1" s="360"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  <c r="O594" s="77" t="n"/>
    </row>
    <row r="595" ht="15.75" customHeight="1" s="360"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</row>
    <row r="596" ht="15.75" customHeight="1" s="360"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  <c r="O596" s="77" t="n"/>
    </row>
    <row r="597" ht="15.75" customHeight="1" s="360"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</row>
    <row r="598" ht="15.75" customHeight="1" s="360"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  <c r="O598" s="77" t="n"/>
    </row>
    <row r="599" ht="15.75" customHeight="1" s="360"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</row>
    <row r="600" ht="15.75" customHeight="1" s="360"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  <c r="O600" s="77" t="n"/>
    </row>
    <row r="601" ht="15.75" customHeight="1" s="360"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</row>
    <row r="602" ht="15.75" customHeight="1" s="360"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  <c r="O602" s="77" t="n"/>
    </row>
    <row r="603" ht="15.75" customHeight="1" s="360"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</row>
    <row r="604" ht="15.75" customHeight="1" s="360"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  <c r="O604" s="77" t="n"/>
    </row>
    <row r="605" ht="15.75" customHeight="1" s="360"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</row>
    <row r="606" ht="15.75" customHeight="1" s="360"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  <c r="O606" s="77" t="n"/>
    </row>
    <row r="607" ht="15.75" customHeight="1" s="360"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</row>
    <row r="608" ht="15.75" customHeight="1" s="360"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  <c r="O608" s="77" t="n"/>
    </row>
    <row r="609" ht="15.75" customHeight="1" s="360"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</row>
    <row r="610" ht="15.75" customHeight="1" s="360"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  <c r="O610" s="77" t="n"/>
    </row>
    <row r="611" ht="15.75" customHeight="1" s="360"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</row>
    <row r="612" ht="15.75" customHeight="1" s="360"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  <c r="O612" s="77" t="n"/>
    </row>
    <row r="613" ht="15.75" customHeight="1" s="360"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</row>
    <row r="614" ht="15.75" customHeight="1" s="360"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  <c r="O614" s="77" t="n"/>
    </row>
    <row r="615" ht="15.75" customHeight="1" s="360"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</row>
    <row r="616" ht="15.75" customHeight="1" s="360"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  <c r="O616" s="77" t="n"/>
    </row>
    <row r="617" ht="15.75" customHeight="1" s="360"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</row>
    <row r="618" ht="15.75" customHeight="1" s="360"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  <c r="O618" s="77" t="n"/>
    </row>
    <row r="619" ht="15.75" customHeight="1" s="360"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</row>
    <row r="620" ht="15.75" customHeight="1" s="360"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  <c r="O620" s="77" t="n"/>
    </row>
    <row r="621" ht="15.75" customHeight="1" s="360"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</row>
    <row r="622" ht="15.75" customHeight="1" s="360"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  <c r="O622" s="77" t="n"/>
    </row>
    <row r="623" ht="15.75" customHeight="1" s="360"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</row>
    <row r="624" ht="15.75" customHeight="1" s="360"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  <c r="O624" s="77" t="n"/>
    </row>
    <row r="625" ht="15.75" customHeight="1" s="360"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</row>
    <row r="626" ht="15.75" customHeight="1" s="360"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  <c r="O626" s="77" t="n"/>
    </row>
    <row r="627" ht="15.75" customHeight="1" s="360"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</row>
    <row r="628" ht="15.75" customHeight="1" s="360"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  <c r="O628" s="77" t="n"/>
    </row>
    <row r="629" ht="15.75" customHeight="1" s="360"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</row>
    <row r="630" ht="15.75" customHeight="1" s="360"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  <c r="O630" s="77" t="n"/>
    </row>
    <row r="631" ht="15.75" customHeight="1" s="360"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</row>
    <row r="632" ht="15.75" customHeight="1" s="360"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  <c r="O632" s="77" t="n"/>
    </row>
    <row r="633" ht="15.75" customHeight="1" s="360"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</row>
    <row r="634" ht="15.75" customHeight="1" s="360"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  <c r="O634" s="77" t="n"/>
    </row>
    <row r="635" ht="15.75" customHeight="1" s="360"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</row>
    <row r="636" ht="15.75" customHeight="1" s="360"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  <c r="O636" s="77" t="n"/>
    </row>
    <row r="637" ht="15.75" customHeight="1" s="360"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</row>
    <row r="638" ht="15.75" customHeight="1" s="360"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  <c r="O638" s="77" t="n"/>
    </row>
    <row r="639" ht="15.75" customHeight="1" s="360"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</row>
    <row r="640" ht="15.75" customHeight="1" s="360"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  <c r="O640" s="77" t="n"/>
    </row>
    <row r="641" ht="15.75" customHeight="1" s="360"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</row>
    <row r="642" ht="15.75" customHeight="1" s="360"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  <c r="O642" s="77" t="n"/>
    </row>
    <row r="643" ht="15.75" customHeight="1" s="360"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</row>
    <row r="644" ht="15.75" customHeight="1" s="360"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  <c r="O644" s="77" t="n"/>
    </row>
    <row r="645" ht="15.75" customHeight="1" s="360"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</row>
    <row r="646" ht="15.75" customHeight="1" s="360"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  <c r="O646" s="77" t="n"/>
    </row>
    <row r="647" ht="15.75" customHeight="1" s="360"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</row>
    <row r="648" ht="15.75" customHeight="1" s="360"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  <c r="O648" s="77" t="n"/>
    </row>
    <row r="649" ht="15.75" customHeight="1" s="360"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</row>
    <row r="650" ht="15.75" customHeight="1" s="360"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  <c r="O650" s="77" t="n"/>
    </row>
    <row r="651" ht="15.75" customHeight="1" s="360"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</row>
    <row r="652" ht="15.75" customHeight="1" s="360"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  <c r="O652" s="77" t="n"/>
    </row>
    <row r="653" ht="15.75" customHeight="1" s="360"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</row>
    <row r="654" ht="15.75" customHeight="1" s="360"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  <c r="O654" s="77" t="n"/>
    </row>
    <row r="655" ht="15.75" customHeight="1" s="360"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</row>
    <row r="656" ht="15.75" customHeight="1" s="360"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  <c r="O656" s="77" t="n"/>
    </row>
    <row r="657" ht="15.75" customHeight="1" s="360"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</row>
    <row r="658" ht="15.75" customHeight="1" s="360"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  <c r="O658" s="77" t="n"/>
    </row>
    <row r="659" ht="15.75" customHeight="1" s="360"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</row>
    <row r="660" ht="15.75" customHeight="1" s="360"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  <c r="O660" s="77" t="n"/>
    </row>
    <row r="661" ht="15.75" customHeight="1" s="360"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</row>
    <row r="662" ht="15.75" customHeight="1" s="360"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  <c r="O662" s="77" t="n"/>
    </row>
    <row r="663" ht="15.75" customHeight="1" s="360"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</row>
    <row r="664" ht="15.75" customHeight="1" s="360"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  <c r="O664" s="77" t="n"/>
    </row>
    <row r="665" ht="15.75" customHeight="1" s="360"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</row>
    <row r="666" ht="15.75" customHeight="1" s="360"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  <c r="O666" s="77" t="n"/>
    </row>
    <row r="667" ht="15.75" customHeight="1" s="360"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</row>
    <row r="668" ht="15.75" customHeight="1" s="360"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  <c r="O668" s="77" t="n"/>
    </row>
    <row r="669" ht="15.75" customHeight="1" s="360"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</row>
    <row r="670" ht="15.75" customHeight="1" s="360"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  <c r="O670" s="77" t="n"/>
    </row>
    <row r="671" ht="15.75" customHeight="1" s="360"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</row>
    <row r="672" ht="15.75" customHeight="1" s="360"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  <c r="O672" s="77" t="n"/>
    </row>
    <row r="673" ht="15.75" customHeight="1" s="360"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</row>
    <row r="674" ht="15.75" customHeight="1" s="360"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  <c r="O674" s="77" t="n"/>
    </row>
    <row r="675" ht="15.75" customHeight="1" s="360"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</row>
    <row r="676" ht="15.75" customHeight="1" s="360"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  <c r="O676" s="77" t="n"/>
    </row>
    <row r="677" ht="15.75" customHeight="1" s="360"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</row>
    <row r="678" ht="15.75" customHeight="1" s="360"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  <c r="O678" s="77" t="n"/>
    </row>
    <row r="679" ht="15.75" customHeight="1" s="360"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</row>
    <row r="680" ht="15.75" customHeight="1" s="360"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  <c r="O680" s="77" t="n"/>
    </row>
    <row r="681" ht="15.75" customHeight="1" s="360"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</row>
    <row r="682" ht="15.75" customHeight="1" s="360"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  <c r="O682" s="77" t="n"/>
    </row>
    <row r="683" ht="15.75" customHeight="1" s="360"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</row>
    <row r="684" ht="15.75" customHeight="1" s="360"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  <c r="O684" s="77" t="n"/>
    </row>
    <row r="685" ht="15.75" customHeight="1" s="360"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</row>
    <row r="686" ht="15.75" customHeight="1" s="360"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  <c r="O686" s="77" t="n"/>
    </row>
    <row r="687" ht="15.75" customHeight="1" s="360"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</row>
    <row r="688" ht="15.75" customHeight="1" s="360"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  <c r="O688" s="77" t="n"/>
    </row>
    <row r="689" ht="15.75" customHeight="1" s="360"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</row>
    <row r="690" ht="15.75" customHeight="1" s="360"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  <c r="O690" s="77" t="n"/>
    </row>
    <row r="691" ht="15.75" customHeight="1" s="360"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</row>
    <row r="692" ht="15.75" customHeight="1" s="360"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  <c r="O692" s="77" t="n"/>
    </row>
    <row r="693" ht="15.75" customHeight="1" s="360"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</row>
    <row r="694" ht="15.75" customHeight="1" s="360"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  <c r="O694" s="77" t="n"/>
    </row>
    <row r="695" ht="15.75" customHeight="1" s="360"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</row>
    <row r="696" ht="15.75" customHeight="1" s="360"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  <c r="O696" s="77" t="n"/>
    </row>
    <row r="697" ht="15.75" customHeight="1" s="360"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</row>
    <row r="698" ht="15.75" customHeight="1" s="360"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  <c r="O698" s="77" t="n"/>
    </row>
    <row r="699" ht="15.75" customHeight="1" s="360"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</row>
    <row r="700" ht="15.75" customHeight="1" s="360"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  <c r="O700" s="77" t="n"/>
    </row>
    <row r="701" ht="15.75" customHeight="1" s="360"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</row>
    <row r="702" ht="15.75" customHeight="1" s="360"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  <c r="O702" s="77" t="n"/>
    </row>
    <row r="703" ht="15.75" customHeight="1" s="360"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</row>
    <row r="704" ht="15.75" customHeight="1" s="360"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  <c r="O704" s="77" t="n"/>
    </row>
    <row r="705" ht="15.75" customHeight="1" s="360"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</row>
    <row r="706" ht="15.75" customHeight="1" s="360"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  <c r="O706" s="77" t="n"/>
    </row>
    <row r="707" ht="15.75" customHeight="1" s="360"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</row>
    <row r="708" ht="15.75" customHeight="1" s="360"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  <c r="O708" s="77" t="n"/>
    </row>
    <row r="709" ht="15.75" customHeight="1" s="360"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</row>
    <row r="710" ht="15.75" customHeight="1" s="360"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  <c r="O710" s="77" t="n"/>
    </row>
    <row r="711" ht="15.75" customHeight="1" s="360"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</row>
    <row r="712" ht="15.75" customHeight="1" s="360"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  <c r="O712" s="77" t="n"/>
    </row>
    <row r="713" ht="15.75" customHeight="1" s="360"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</row>
    <row r="714" ht="15.75" customHeight="1" s="360"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  <c r="O714" s="77" t="n"/>
    </row>
    <row r="715" ht="15.75" customHeight="1" s="360"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</row>
    <row r="716" ht="15.75" customHeight="1" s="360"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  <c r="O716" s="77" t="n"/>
    </row>
    <row r="717" ht="15.75" customHeight="1" s="360"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</row>
    <row r="718" ht="15.75" customHeight="1" s="360"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  <c r="O718" s="77" t="n"/>
    </row>
    <row r="719" ht="15.75" customHeight="1" s="360"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</row>
    <row r="720" ht="15.75" customHeight="1" s="360"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  <c r="O720" s="77" t="n"/>
    </row>
    <row r="721" ht="15.75" customHeight="1" s="360"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</row>
    <row r="722" ht="15.75" customHeight="1" s="360"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  <c r="O722" s="77" t="n"/>
    </row>
    <row r="723" ht="15.75" customHeight="1" s="360"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</row>
    <row r="724" ht="15.75" customHeight="1" s="360"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  <c r="O724" s="77" t="n"/>
    </row>
    <row r="725" ht="15.75" customHeight="1" s="360"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</row>
    <row r="726" ht="15.75" customHeight="1" s="360"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  <c r="O726" s="77" t="n"/>
    </row>
    <row r="727" ht="15.75" customHeight="1" s="360"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</row>
    <row r="728" ht="15.75" customHeight="1" s="360"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  <c r="O728" s="77" t="n"/>
    </row>
    <row r="729" ht="15.75" customHeight="1" s="360"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</row>
    <row r="730" ht="15.75" customHeight="1" s="360"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  <c r="O730" s="77" t="n"/>
    </row>
    <row r="731" ht="15.75" customHeight="1" s="360"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</row>
    <row r="732" ht="15.75" customHeight="1" s="360"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  <c r="O732" s="77" t="n"/>
    </row>
    <row r="733" ht="15.75" customHeight="1" s="360"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</row>
    <row r="734" ht="15.75" customHeight="1" s="360"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  <c r="O734" s="77" t="n"/>
    </row>
    <row r="735" ht="15.75" customHeight="1" s="360"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</row>
    <row r="736" ht="15.75" customHeight="1" s="360"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  <c r="O736" s="77" t="n"/>
    </row>
    <row r="737" ht="15.75" customHeight="1" s="360"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</row>
    <row r="738" ht="15.75" customHeight="1" s="360"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  <c r="O738" s="77" t="n"/>
    </row>
    <row r="739" ht="15.75" customHeight="1" s="360"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</row>
    <row r="740" ht="15.75" customHeight="1" s="360"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  <c r="O740" s="77" t="n"/>
    </row>
    <row r="741" ht="15.75" customHeight="1" s="360"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</row>
    <row r="742" ht="15.75" customHeight="1" s="360"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  <c r="O742" s="77" t="n"/>
    </row>
    <row r="743" ht="15.75" customHeight="1" s="360"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</row>
    <row r="744" ht="15.75" customHeight="1" s="360"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  <c r="O744" s="77" t="n"/>
    </row>
    <row r="745" ht="15.75" customHeight="1" s="360"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</row>
    <row r="746" ht="15.75" customHeight="1" s="360"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  <c r="O746" s="77" t="n"/>
    </row>
    <row r="747" ht="15.75" customHeight="1" s="360"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</row>
    <row r="748" ht="15.75" customHeight="1" s="360"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  <c r="O748" s="77" t="n"/>
    </row>
    <row r="749" ht="15.75" customHeight="1" s="360"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</row>
    <row r="750" ht="15.75" customHeight="1" s="360"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  <c r="O750" s="77" t="n"/>
    </row>
    <row r="751" ht="15.75" customHeight="1" s="360"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</row>
    <row r="752" ht="15.75" customHeight="1" s="360"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  <c r="O752" s="77" t="n"/>
    </row>
    <row r="753" ht="15.75" customHeight="1" s="360"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</row>
    <row r="754" ht="15.75" customHeight="1" s="360"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  <c r="O754" s="77" t="n"/>
    </row>
    <row r="755" ht="15.75" customHeight="1" s="360"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</row>
    <row r="756" ht="15.75" customHeight="1" s="360"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  <c r="O756" s="77" t="n"/>
    </row>
    <row r="757" ht="15.75" customHeight="1" s="360"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</row>
    <row r="758" ht="15.75" customHeight="1" s="360"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  <c r="O758" s="77" t="n"/>
    </row>
    <row r="759" ht="15.75" customHeight="1" s="360"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</row>
    <row r="760" ht="15.75" customHeight="1" s="360"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  <c r="O760" s="77" t="n"/>
    </row>
    <row r="761" ht="15.75" customHeight="1" s="360"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</row>
    <row r="762" ht="15.75" customHeight="1" s="360"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  <c r="O762" s="77" t="n"/>
    </row>
    <row r="763" ht="15.75" customHeight="1" s="360"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</row>
    <row r="764" ht="15.75" customHeight="1" s="360"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  <c r="O764" s="77" t="n"/>
    </row>
    <row r="765" ht="15.75" customHeight="1" s="360"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</row>
    <row r="766" ht="15.75" customHeight="1" s="360"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  <c r="O766" s="77" t="n"/>
    </row>
    <row r="767" ht="15.75" customHeight="1" s="360"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</row>
    <row r="768" ht="15.75" customHeight="1" s="360"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  <c r="O768" s="77" t="n"/>
    </row>
    <row r="769" ht="15.75" customHeight="1" s="360"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</row>
    <row r="770" ht="15.75" customHeight="1" s="360"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  <c r="O770" s="77" t="n"/>
    </row>
    <row r="771" ht="15.75" customHeight="1" s="360"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</row>
    <row r="772" ht="15.75" customHeight="1" s="360"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  <c r="O772" s="77" t="n"/>
    </row>
    <row r="773" ht="15.75" customHeight="1" s="360"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</row>
    <row r="774" ht="15.75" customHeight="1" s="360"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  <c r="O774" s="77" t="n"/>
    </row>
    <row r="775" ht="15.75" customHeight="1" s="360"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</row>
    <row r="776" ht="15.75" customHeight="1" s="360"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  <c r="O776" s="77" t="n"/>
    </row>
    <row r="777" ht="15.75" customHeight="1" s="360"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</row>
    <row r="778" ht="15.75" customHeight="1" s="360"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  <c r="O778" s="77" t="n"/>
    </row>
    <row r="779" ht="15.75" customHeight="1" s="360"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</row>
    <row r="780" ht="15.75" customHeight="1" s="360"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  <c r="O780" s="77" t="n"/>
    </row>
    <row r="781" ht="15.75" customHeight="1" s="360"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</row>
    <row r="782" ht="15.75" customHeight="1" s="360"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  <c r="O782" s="77" t="n"/>
    </row>
    <row r="783" ht="15.75" customHeight="1" s="360"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</row>
    <row r="784" ht="15.75" customHeight="1" s="360"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  <c r="O784" s="77" t="n"/>
    </row>
    <row r="785" ht="15.75" customHeight="1" s="360"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</row>
    <row r="786" ht="15.75" customHeight="1" s="360"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  <c r="O786" s="77" t="n"/>
    </row>
    <row r="787" ht="15.75" customHeight="1" s="360"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</row>
    <row r="788" ht="15.75" customHeight="1" s="360"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  <c r="O788" s="77" t="n"/>
    </row>
    <row r="789" ht="15.75" customHeight="1" s="360"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</row>
    <row r="790" ht="15.75" customHeight="1" s="360"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  <c r="O790" s="77" t="n"/>
    </row>
    <row r="791" ht="15.75" customHeight="1" s="360"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</row>
    <row r="792" ht="15.75" customHeight="1" s="360"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  <c r="O792" s="77" t="n"/>
    </row>
    <row r="793" ht="15.75" customHeight="1" s="360"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</row>
    <row r="794" ht="15.75" customHeight="1" s="360"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  <c r="O794" s="77" t="n"/>
    </row>
    <row r="795" ht="15.75" customHeight="1" s="360"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</row>
    <row r="796" ht="15.75" customHeight="1" s="360"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  <c r="O796" s="77" t="n"/>
    </row>
    <row r="797" ht="15.75" customHeight="1" s="360"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</row>
    <row r="798" ht="15.75" customHeight="1" s="360"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  <c r="O798" s="77" t="n"/>
    </row>
    <row r="799" ht="15.75" customHeight="1" s="360"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</row>
    <row r="800" ht="15.75" customHeight="1" s="360"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  <c r="O800" s="77" t="n"/>
    </row>
    <row r="801" ht="15.75" customHeight="1" s="360"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</row>
    <row r="802" ht="15.75" customHeight="1" s="360"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  <c r="O802" s="77" t="n"/>
    </row>
    <row r="803" ht="15.75" customHeight="1" s="360"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</row>
    <row r="804" ht="15.75" customHeight="1" s="360"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  <c r="O804" s="77" t="n"/>
    </row>
    <row r="805" ht="15.75" customHeight="1" s="360"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</row>
    <row r="806" ht="15.75" customHeight="1" s="360"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  <c r="O806" s="77" t="n"/>
    </row>
    <row r="807" ht="15.75" customHeight="1" s="360"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</row>
    <row r="808" ht="15.75" customHeight="1" s="360"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  <c r="O808" s="77" t="n"/>
    </row>
    <row r="809" ht="15.75" customHeight="1" s="360"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</row>
    <row r="810" ht="15.75" customHeight="1" s="360"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  <c r="O810" s="77" t="n"/>
    </row>
    <row r="811" ht="15.75" customHeight="1" s="360"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</row>
    <row r="812" ht="15.75" customHeight="1" s="360"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  <c r="O812" s="77" t="n"/>
    </row>
    <row r="813" ht="15.75" customHeight="1" s="360"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</row>
    <row r="814" ht="15.75" customHeight="1" s="360"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  <c r="O814" s="77" t="n"/>
    </row>
    <row r="815" ht="15.75" customHeight="1" s="360"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</row>
    <row r="816" ht="15.75" customHeight="1" s="360"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  <c r="O816" s="77" t="n"/>
    </row>
    <row r="817" ht="15.75" customHeight="1" s="360"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</row>
    <row r="818" ht="15.75" customHeight="1" s="360"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  <c r="O818" s="77" t="n"/>
    </row>
    <row r="819" ht="15.75" customHeight="1" s="360"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</row>
    <row r="820" ht="15.75" customHeight="1" s="360"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  <c r="O820" s="77" t="n"/>
    </row>
    <row r="821" ht="15.75" customHeight="1" s="360"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</row>
    <row r="822" ht="15.75" customHeight="1" s="360"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  <c r="O822" s="77" t="n"/>
    </row>
    <row r="823" ht="15.75" customHeight="1" s="360"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</row>
    <row r="824" ht="15.75" customHeight="1" s="360"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  <c r="O824" s="77" t="n"/>
    </row>
    <row r="825" ht="15.75" customHeight="1" s="360"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</row>
    <row r="826" ht="15.75" customHeight="1" s="360"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  <c r="O826" s="77" t="n"/>
    </row>
    <row r="827" ht="15.75" customHeight="1" s="360"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</row>
    <row r="828" ht="15.75" customHeight="1" s="360"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  <c r="O828" s="77" t="n"/>
    </row>
    <row r="829" ht="15.75" customHeight="1" s="360"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</row>
    <row r="830" ht="15.75" customHeight="1" s="360"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  <c r="O830" s="77" t="n"/>
    </row>
    <row r="831" ht="15.75" customHeight="1" s="360"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</row>
    <row r="832" ht="15.75" customHeight="1" s="360"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  <c r="O832" s="77" t="n"/>
    </row>
    <row r="833" ht="15.75" customHeight="1" s="360"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</row>
    <row r="834" ht="15.75" customHeight="1" s="360"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  <c r="O834" s="77" t="n"/>
    </row>
    <row r="835" ht="15.75" customHeight="1" s="360"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</row>
    <row r="836" ht="15.75" customHeight="1" s="360"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  <c r="O836" s="77" t="n"/>
    </row>
    <row r="837" ht="15.75" customHeight="1" s="360"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</row>
    <row r="838" ht="15.75" customHeight="1" s="360"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  <c r="O838" s="77" t="n"/>
    </row>
    <row r="839" ht="15.75" customHeight="1" s="360"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</row>
    <row r="840" ht="15.75" customHeight="1" s="360"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  <c r="O840" s="77" t="n"/>
    </row>
    <row r="841" ht="15.75" customHeight="1" s="360"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</row>
    <row r="842" ht="15.75" customHeight="1" s="360"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  <c r="O842" s="77" t="n"/>
    </row>
    <row r="843" ht="15.75" customHeight="1" s="360"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</row>
    <row r="844" ht="15.75" customHeight="1" s="360"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  <c r="O844" s="77" t="n"/>
    </row>
    <row r="845" ht="15.75" customHeight="1" s="360"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</row>
    <row r="846" ht="15.75" customHeight="1" s="360"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  <c r="O846" s="77" t="n"/>
    </row>
    <row r="847" ht="15.75" customHeight="1" s="360"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</row>
    <row r="848" ht="15.75" customHeight="1" s="360"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  <c r="O848" s="77" t="n"/>
    </row>
    <row r="849" ht="15.75" customHeight="1" s="360"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</row>
    <row r="850" ht="15.75" customHeight="1" s="360"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  <c r="O850" s="77" t="n"/>
    </row>
    <row r="851" ht="15.75" customHeight="1" s="360"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</row>
    <row r="852" ht="15.75" customHeight="1" s="360"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  <c r="O852" s="77" t="n"/>
    </row>
    <row r="853" ht="15.75" customHeight="1" s="360"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</row>
    <row r="854" ht="15.75" customHeight="1" s="360"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  <c r="O854" s="77" t="n"/>
    </row>
    <row r="855" ht="15.75" customHeight="1" s="360"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</row>
    <row r="856" ht="15.75" customHeight="1" s="360"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  <c r="O856" s="77" t="n"/>
    </row>
    <row r="857" ht="15.75" customHeight="1" s="360"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</row>
    <row r="858" ht="15.75" customHeight="1" s="360"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  <c r="O858" s="77" t="n"/>
    </row>
    <row r="859" ht="15.75" customHeight="1" s="360"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</row>
    <row r="860" ht="15.75" customHeight="1" s="360"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  <c r="O860" s="77" t="n"/>
    </row>
    <row r="861" ht="15.75" customHeight="1" s="360"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</row>
    <row r="862" ht="15.75" customHeight="1" s="360"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  <c r="O862" s="77" t="n"/>
    </row>
    <row r="863" ht="15.75" customHeight="1" s="360"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</row>
    <row r="864" ht="15.75" customHeight="1" s="360"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  <c r="O864" s="77" t="n"/>
    </row>
    <row r="865" ht="15.75" customHeight="1" s="360"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</row>
    <row r="866" ht="15.75" customHeight="1" s="360"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  <c r="O866" s="77" t="n"/>
    </row>
    <row r="867" ht="15.75" customHeight="1" s="360"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</row>
    <row r="868" ht="15.75" customHeight="1" s="360"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  <c r="O868" s="77" t="n"/>
    </row>
    <row r="869" ht="15.75" customHeight="1" s="360"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</row>
    <row r="870" ht="15.75" customHeight="1" s="360"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  <c r="O870" s="77" t="n"/>
    </row>
    <row r="871" ht="15.75" customHeight="1" s="360"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</row>
    <row r="872" ht="15.75" customHeight="1" s="360"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  <c r="O872" s="77" t="n"/>
    </row>
    <row r="873" ht="15.75" customHeight="1" s="360"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</row>
    <row r="874" ht="15.75" customHeight="1" s="360"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  <c r="O874" s="77" t="n"/>
    </row>
    <row r="875" ht="15.75" customHeight="1" s="360"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</row>
    <row r="876" ht="15.75" customHeight="1" s="360"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  <c r="O876" s="77" t="n"/>
    </row>
    <row r="877" ht="15.75" customHeight="1" s="360"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</row>
    <row r="878" ht="15.75" customHeight="1" s="360"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  <c r="O878" s="77" t="n"/>
    </row>
    <row r="879" ht="15.75" customHeight="1" s="360"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</row>
    <row r="880" ht="15.75" customHeight="1" s="360"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  <c r="O880" s="77" t="n"/>
    </row>
    <row r="881" ht="15.75" customHeight="1" s="360"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</row>
    <row r="882" ht="15.75" customHeight="1" s="360"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  <c r="O882" s="77" t="n"/>
    </row>
    <row r="883" ht="15.75" customHeight="1" s="360"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</row>
    <row r="884" ht="15.75" customHeight="1" s="360"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  <c r="O884" s="77" t="n"/>
    </row>
    <row r="885" ht="15.75" customHeight="1" s="360"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</row>
    <row r="886" ht="15.75" customHeight="1" s="360"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  <c r="O886" s="77" t="n"/>
    </row>
    <row r="887" ht="15.75" customHeight="1" s="360"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</row>
    <row r="888" ht="15.75" customHeight="1" s="360"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  <c r="O888" s="77" t="n"/>
    </row>
    <row r="889" ht="15.75" customHeight="1" s="360"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</row>
    <row r="890" ht="15.75" customHeight="1" s="360"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  <c r="O890" s="77" t="n"/>
    </row>
    <row r="891" ht="15.75" customHeight="1" s="360"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</row>
    <row r="892" ht="15.75" customHeight="1" s="360"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  <c r="O892" s="77" t="n"/>
    </row>
    <row r="893" ht="15.75" customHeight="1" s="360"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</row>
    <row r="894" ht="15.75" customHeight="1" s="360"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  <c r="O894" s="77" t="n"/>
    </row>
    <row r="895" ht="15.75" customHeight="1" s="360"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</row>
    <row r="896" ht="15.75" customHeight="1" s="360"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  <c r="O896" s="77" t="n"/>
    </row>
    <row r="897" ht="15.75" customHeight="1" s="360"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</row>
    <row r="898" ht="15.75" customHeight="1" s="360"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  <c r="O898" s="77" t="n"/>
    </row>
    <row r="899" ht="15.75" customHeight="1" s="360"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</row>
    <row r="900" ht="15.75" customHeight="1" s="360"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  <c r="O900" s="77" t="n"/>
    </row>
    <row r="901" ht="15.75" customHeight="1" s="360"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</row>
    <row r="902" ht="15.75" customHeight="1" s="360"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  <c r="O902" s="77" t="n"/>
    </row>
    <row r="903" ht="15.75" customHeight="1" s="360"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</row>
    <row r="904" ht="15.75" customHeight="1" s="360"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  <c r="O904" s="77" t="n"/>
    </row>
    <row r="905" ht="15.75" customHeight="1" s="360"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</row>
    <row r="906" ht="15.75" customHeight="1" s="360"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  <c r="O906" s="77" t="n"/>
    </row>
    <row r="907" ht="15.75" customHeight="1" s="360"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</row>
    <row r="908" ht="15.75" customHeight="1" s="360"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  <c r="O908" s="77" t="n"/>
    </row>
    <row r="909" ht="15.75" customHeight="1" s="360"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</row>
    <row r="910" ht="15.75" customHeight="1" s="360"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  <c r="O910" s="77" t="n"/>
    </row>
    <row r="911" ht="15.75" customHeight="1" s="360"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</row>
    <row r="912" ht="15.75" customHeight="1" s="360"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  <c r="O912" s="77" t="n"/>
    </row>
    <row r="913" ht="15.75" customHeight="1" s="360"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</row>
    <row r="914" ht="15.75" customHeight="1" s="360"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  <c r="O914" s="77" t="n"/>
    </row>
    <row r="915" ht="15.75" customHeight="1" s="360"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</row>
    <row r="916" ht="15.75" customHeight="1" s="360"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  <c r="O916" s="77" t="n"/>
    </row>
    <row r="917" ht="15.75" customHeight="1" s="360"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</row>
    <row r="918" ht="15.75" customHeight="1" s="360"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  <c r="O918" s="77" t="n"/>
    </row>
    <row r="919" ht="15.75" customHeight="1" s="360"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</row>
    <row r="920" ht="15.75" customHeight="1" s="360"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  <c r="O920" s="77" t="n"/>
    </row>
    <row r="921" ht="15.75" customHeight="1" s="360"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</row>
    <row r="922" ht="15.75" customHeight="1" s="360"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  <c r="O922" s="77" t="n"/>
    </row>
    <row r="923" ht="15.75" customHeight="1" s="360"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</row>
    <row r="924" ht="15.75" customHeight="1" s="360"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  <c r="O924" s="77" t="n"/>
    </row>
    <row r="925" ht="15.75" customHeight="1" s="360"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</row>
    <row r="926" ht="15.75" customHeight="1" s="360"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  <c r="O926" s="77" t="n"/>
    </row>
    <row r="927" ht="15.75" customHeight="1" s="360"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</row>
    <row r="928" ht="15.75" customHeight="1" s="360"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  <c r="O928" s="77" t="n"/>
    </row>
    <row r="929" ht="15.75" customHeight="1" s="360"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</row>
    <row r="930" ht="15.75" customHeight="1" s="360"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  <c r="O930" s="77" t="n"/>
    </row>
    <row r="931" ht="15.75" customHeight="1" s="360"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</row>
    <row r="932" ht="15.75" customHeight="1" s="360"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  <c r="O932" s="77" t="n"/>
    </row>
    <row r="933" ht="15.75" customHeight="1" s="360"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</row>
    <row r="934" ht="15.75" customHeight="1" s="360"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  <c r="O934" s="77" t="n"/>
    </row>
    <row r="935" ht="15.75" customHeight="1" s="360"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</row>
    <row r="936" ht="15.75" customHeight="1" s="360"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  <c r="O936" s="77" t="n"/>
    </row>
    <row r="937" ht="15.75" customHeight="1" s="360"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</row>
    <row r="938" ht="15.75" customHeight="1" s="360"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  <c r="O938" s="77" t="n"/>
    </row>
    <row r="939" ht="15.75" customHeight="1" s="360"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</row>
    <row r="940" ht="15.75" customHeight="1" s="360"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  <c r="O940" s="77" t="n"/>
    </row>
    <row r="941" ht="15.75" customHeight="1" s="360"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</row>
    <row r="942" ht="15.75" customHeight="1" s="360"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  <c r="O942" s="77" t="n"/>
    </row>
    <row r="943" ht="15.75" customHeight="1" s="360"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</row>
    <row r="944" ht="15.75" customHeight="1" s="360"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  <c r="O944" s="77" t="n"/>
    </row>
    <row r="945" ht="15.75" customHeight="1" s="360"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</row>
    <row r="946" ht="15.75" customHeight="1" s="360"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  <c r="O946" s="77" t="n"/>
    </row>
    <row r="947" ht="15.75" customHeight="1" s="360"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</row>
    <row r="948" ht="15.75" customHeight="1" s="360"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  <c r="O948" s="77" t="n"/>
    </row>
    <row r="949" ht="15.75" customHeight="1" s="360"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</row>
    <row r="950" ht="15.75" customHeight="1" s="360"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  <c r="O950" s="77" t="n"/>
    </row>
    <row r="951" ht="15.75" customHeight="1" s="360"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</row>
    <row r="952" ht="15.75" customHeight="1" s="360"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  <c r="O952" s="77" t="n"/>
    </row>
    <row r="953" ht="15.75" customHeight="1" s="360"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</row>
    <row r="954" ht="15.75" customHeight="1" s="360"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  <c r="O954" s="77" t="n"/>
    </row>
    <row r="955" ht="15.75" customHeight="1" s="360"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</row>
    <row r="956" ht="15.75" customHeight="1" s="360"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  <c r="O956" s="77" t="n"/>
    </row>
    <row r="957" ht="15.75" customHeight="1" s="360"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</row>
    <row r="958" ht="15.75" customHeight="1" s="360"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  <c r="O958" s="77" t="n"/>
    </row>
    <row r="959" ht="15.75" customHeight="1" s="360"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  <c r="O959" s="77" t="n"/>
    </row>
    <row r="960" ht="15.75" customHeight="1" s="360"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  <c r="O960" s="77" t="n"/>
    </row>
    <row r="961" ht="15.75" customHeight="1" s="360"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  <c r="O961" s="77" t="n"/>
    </row>
    <row r="962" ht="15.75" customHeight="1" s="360"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  <c r="O962" s="77" t="n"/>
    </row>
    <row r="963" ht="15.75" customHeight="1" s="360"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  <c r="O963" s="77" t="n"/>
    </row>
    <row r="964" ht="15.75" customHeight="1" s="360"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  <c r="O964" s="77" t="n"/>
    </row>
    <row r="965" ht="15.75" customHeight="1" s="360"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  <c r="O965" s="77" t="n"/>
    </row>
    <row r="966" ht="15.75" customHeight="1" s="360"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  <c r="O966" s="77" t="n"/>
    </row>
    <row r="967" ht="15.75" customHeight="1" s="360"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  <c r="O967" s="77" t="n"/>
    </row>
    <row r="968" ht="15.75" customHeight="1" s="360"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  <c r="O968" s="77" t="n"/>
    </row>
    <row r="969" ht="15.75" customHeight="1" s="360"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  <c r="O969" s="77" t="n"/>
    </row>
    <row r="970" ht="15.75" customHeight="1" s="360"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  <c r="O970" s="77" t="n"/>
    </row>
    <row r="971" ht="15.75" customHeight="1" s="360"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  <c r="O971" s="77" t="n"/>
    </row>
    <row r="972" ht="15.75" customHeight="1" s="360"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  <c r="O972" s="77" t="n"/>
    </row>
    <row r="973" ht="15.75" customHeight="1" s="360"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  <c r="O973" s="77" t="n"/>
    </row>
    <row r="974" ht="15.75" customHeight="1" s="360"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  <c r="O974" s="77" t="n"/>
    </row>
    <row r="975" ht="15.75" customHeight="1" s="360"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  <c r="O975" s="77" t="n"/>
    </row>
    <row r="976" ht="15.75" customHeight="1" s="360"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  <c r="O976" s="77" t="n"/>
    </row>
    <row r="977" ht="15.75" customHeight="1" s="360"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  <c r="O977" s="77" t="n"/>
    </row>
    <row r="978" ht="15.75" customHeight="1" s="360"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  <c r="O978" s="77" t="n"/>
    </row>
    <row r="979" ht="15.75" customHeight="1" s="360"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  <c r="O979" s="77" t="n"/>
    </row>
    <row r="980" ht="15.75" customHeight="1" s="360"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  <c r="O980" s="77" t="n"/>
    </row>
    <row r="981" ht="15.75" customHeight="1" s="360"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  <c r="O981" s="77" t="n"/>
    </row>
    <row r="982" ht="15.75" customHeight="1" s="360"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  <c r="O982" s="77" t="n"/>
    </row>
    <row r="983" ht="15.75" customHeight="1" s="360"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  <c r="O983" s="77" t="n"/>
    </row>
    <row r="984" ht="15.75" customHeight="1" s="360"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  <c r="O984" s="77" t="n"/>
    </row>
    <row r="985" ht="15.75" customHeight="1" s="360"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  <c r="O985" s="77" t="n"/>
    </row>
    <row r="986" ht="15.75" customHeight="1" s="360"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  <c r="O986" s="77" t="n"/>
    </row>
    <row r="987" ht="15.75" customHeight="1" s="360"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  <c r="O987" s="77" t="n"/>
    </row>
    <row r="988" ht="15.75" customHeight="1" s="360"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  <c r="O988" s="77" t="n"/>
    </row>
    <row r="989" ht="15.75" customHeight="1" s="360"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  <c r="O989" s="77" t="n"/>
    </row>
    <row r="990" ht="15.75" customHeight="1" s="360"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  <c r="O990" s="77" t="n"/>
    </row>
    <row r="991" ht="15.75" customHeight="1" s="360"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  <c r="O991" s="77" t="n"/>
    </row>
    <row r="992" ht="15.75" customHeight="1" s="360"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  <c r="O992" s="77" t="n"/>
    </row>
    <row r="993" ht="15.75" customHeight="1" s="360"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  <c r="O993" s="77" t="n"/>
    </row>
    <row r="994" ht="15.75" customHeight="1" s="360"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  <c r="O994" s="77" t="n"/>
    </row>
    <row r="995" ht="15.75" customHeight="1" s="360"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  <c r="O995" s="77" t="n"/>
    </row>
    <row r="996" ht="15.75" customHeight="1" s="360"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  <c r="O996" s="77" t="n"/>
    </row>
    <row r="997" ht="15.75" customHeight="1" s="360"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  <c r="O997" s="77" t="n"/>
    </row>
    <row r="998" ht="15.75" customHeight="1" s="360"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  <c r="O998" s="77" t="n"/>
    </row>
    <row r="999" ht="15.75" customHeight="1" s="360"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  <c r="O999" s="77" t="n"/>
    </row>
    <row r="1000" ht="15.75" customHeight="1" s="360"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  <c r="O1000" s="77" t="n"/>
    </row>
  </sheetData>
  <mergeCells count="65">
    <mergeCell ref="I65:J65"/>
    <mergeCell ref="H73:J73"/>
    <mergeCell ref="K47:M47"/>
    <mergeCell ref="E74:E78"/>
    <mergeCell ref="H25:J25"/>
    <mergeCell ref="I77:J77"/>
    <mergeCell ref="N47:O47"/>
    <mergeCell ref="C24:J24"/>
    <mergeCell ref="E82:E83"/>
    <mergeCell ref="H79:J79"/>
    <mergeCell ref="K56:M56"/>
    <mergeCell ref="N37:O37"/>
    <mergeCell ref="I26:J26"/>
    <mergeCell ref="I70:J70"/>
    <mergeCell ref="C37:J37"/>
    <mergeCell ref="N56:O56"/>
    <mergeCell ref="H32:J32"/>
    <mergeCell ref="K2:M2"/>
    <mergeCell ref="H81:J81"/>
    <mergeCell ref="H28:J28"/>
    <mergeCell ref="I76:J76"/>
    <mergeCell ref="I72:J72"/>
    <mergeCell ref="N2:O2"/>
    <mergeCell ref="C47:J47"/>
    <mergeCell ref="H27:J27"/>
    <mergeCell ref="H80:J80"/>
    <mergeCell ref="I75:J75"/>
    <mergeCell ref="I71:J71"/>
    <mergeCell ref="I66:J66"/>
    <mergeCell ref="C71:C83"/>
    <mergeCell ref="C31:C34"/>
    <mergeCell ref="E71:E73"/>
    <mergeCell ref="C63:C70"/>
    <mergeCell ref="H33:J33"/>
    <mergeCell ref="H74:J74"/>
    <mergeCell ref="I68:J68"/>
    <mergeCell ref="H42:J42"/>
    <mergeCell ref="H62:J62"/>
    <mergeCell ref="I69:J69"/>
    <mergeCell ref="C39:C42"/>
    <mergeCell ref="K37:M37"/>
    <mergeCell ref="C2:J2"/>
    <mergeCell ref="H30:J30"/>
    <mergeCell ref="I67:J67"/>
    <mergeCell ref="G49:G54"/>
    <mergeCell ref="H82:J82"/>
    <mergeCell ref="C61:J61"/>
    <mergeCell ref="H29:J29"/>
    <mergeCell ref="H78:J78"/>
    <mergeCell ref="I64:J64"/>
    <mergeCell ref="H38:J38"/>
    <mergeCell ref="K24:M24"/>
    <mergeCell ref="C26:C30"/>
    <mergeCell ref="H41:J41"/>
    <mergeCell ref="N24:O24"/>
    <mergeCell ref="H31:J31"/>
    <mergeCell ref="I63:J63"/>
    <mergeCell ref="K55:M55"/>
    <mergeCell ref="H34:J34"/>
    <mergeCell ref="H40:J40"/>
    <mergeCell ref="F49:F54"/>
    <mergeCell ref="H39:J39"/>
    <mergeCell ref="H83:J83"/>
    <mergeCell ref="N55:O55"/>
    <mergeCell ref="E3:F3"/>
  </mergeCells>
  <dataValidations count="3">
    <dataValidation sqref="G26:G34 G42 G63:G83" showDropDown="0" showInputMessage="0" showErrorMessage="1" allowBlank="1" type="list">
      <formula1>"Good to have,Mandatory,Required for selling in UK,Required for UKCA"</formula1>
    </dataValidation>
    <dataValidation sqref="I4:I21" showDropDown="0" showInputMessage="0" showErrorMessage="1" allowBlank="1" type="list">
      <formula1>"Good for scaling,Good to have,Ideal,Mandatory"</formula1>
    </dataValidation>
    <dataValidation sqref="G39:G41" showDropDown="0" showInputMessage="0" showErrorMessage="1" allowBlank="1" type="list">
      <formula1>"Mandatory,Good to have,Ideal"</formula1>
    </dataValidation>
  </dataValidations>
  <pageMargins left="0.75" right="0.75" top="1" bottom="1" header="0" footer="0"/>
  <pageSetup orientation="landscape" paperSize="8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H12:H12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60" min="1" max="6"/>
  </cols>
  <sheetData>
    <row r="12" ht="15" customHeight="1" s="360">
      <c r="H12" s="350" t="n"/>
    </row>
    <row r="21" ht="15.75" customHeight="1" s="360"/>
    <row r="22" ht="15.75" customHeight="1" s="360"/>
    <row r="23" ht="15.75" customHeight="1" s="360"/>
    <row r="24" ht="15.75" customHeight="1" s="360"/>
    <row r="25" ht="15.75" customHeight="1" s="360"/>
    <row r="26" ht="15.75" customHeight="1" s="360"/>
    <row r="27" ht="15.75" customHeight="1" s="360"/>
    <row r="28" ht="15.75" customHeight="1" s="360"/>
    <row r="29" ht="15.75" customHeight="1" s="360"/>
    <row r="30" ht="15.75" customHeight="1" s="360"/>
    <row r="31" ht="15.75" customHeight="1" s="360"/>
    <row r="32" ht="15.75" customHeight="1" s="360"/>
    <row r="33" ht="15.75" customHeight="1" s="360"/>
    <row r="34" ht="15.75" customHeight="1" s="360"/>
    <row r="35" ht="15.75" customHeight="1" s="360"/>
    <row r="36" ht="15.75" customHeight="1" s="360"/>
    <row r="37" ht="15.75" customHeight="1" s="360"/>
    <row r="38" ht="15.75" customHeight="1" s="360"/>
    <row r="39" ht="15.75" customHeight="1" s="360"/>
    <row r="40" ht="15.75" customHeight="1" s="360"/>
    <row r="41" ht="15.75" customHeight="1" s="360"/>
    <row r="42" ht="15.75" customHeight="1" s="360"/>
    <row r="43" ht="15.75" customHeight="1" s="360"/>
    <row r="44" ht="15.75" customHeight="1" s="360"/>
    <row r="45" ht="15.75" customHeight="1" s="360"/>
    <row r="46" ht="15.75" customHeight="1" s="360"/>
    <row r="47" ht="15.75" customHeight="1" s="360"/>
    <row r="48" ht="15.75" customHeight="1" s="360"/>
    <row r="49" ht="15.75" customHeight="1" s="360"/>
    <row r="50" ht="15.75" customHeight="1" s="360"/>
    <row r="51" ht="15.75" customHeight="1" s="360"/>
    <row r="52" ht="15.75" customHeight="1" s="360"/>
    <row r="53" ht="15.75" customHeight="1" s="360"/>
    <row r="54" ht="15.75" customHeight="1" s="360"/>
    <row r="55" ht="15.75" customHeight="1" s="360"/>
    <row r="56" ht="15.75" customHeight="1" s="360"/>
    <row r="57" ht="15.75" customHeight="1" s="360"/>
    <row r="58" ht="15.75" customHeight="1" s="360"/>
    <row r="59" ht="15.75" customHeight="1" s="360"/>
    <row r="60" ht="15.75" customHeight="1" s="360"/>
    <row r="61" ht="15.75" customHeight="1" s="360"/>
    <row r="62" ht="15.75" customHeight="1" s="360"/>
    <row r="63" ht="15.75" customHeight="1" s="360"/>
    <row r="64" ht="15.75" customHeight="1" s="360"/>
    <row r="65" ht="15.75" customHeight="1" s="360"/>
    <row r="66" ht="15.75" customHeight="1" s="360"/>
    <row r="67" ht="15.75" customHeight="1" s="360"/>
    <row r="68" ht="15.75" customHeight="1" s="360"/>
    <row r="69" ht="15.75" customHeight="1" s="360"/>
    <row r="70" ht="15.75" customHeight="1" s="360"/>
    <row r="71" ht="15.75" customHeight="1" s="360"/>
    <row r="72" ht="15.75" customHeight="1" s="360"/>
    <row r="73" ht="15.75" customHeight="1" s="360"/>
    <row r="74" ht="15.75" customHeight="1" s="360"/>
    <row r="75" ht="15.75" customHeight="1" s="360"/>
    <row r="76" ht="15.75" customHeight="1" s="360"/>
    <row r="77" ht="15.75" customHeight="1" s="360"/>
    <row r="78" ht="15.75" customHeight="1" s="360"/>
    <row r="79" ht="15.75" customHeight="1" s="360"/>
    <row r="80" ht="15.75" customHeight="1" s="360"/>
    <row r="81" ht="15.75" customHeight="1" s="360"/>
    <row r="82" ht="15.75" customHeight="1" s="360"/>
    <row r="83" ht="15.75" customHeight="1" s="360"/>
    <row r="84" ht="15.75" customHeight="1" s="360"/>
    <row r="85" ht="15.75" customHeight="1" s="360"/>
    <row r="86" ht="15.75" customHeight="1" s="360"/>
    <row r="87" ht="15.75" customHeight="1" s="360"/>
    <row r="88" ht="15.75" customHeight="1" s="360"/>
    <row r="89" ht="15.75" customHeight="1" s="360"/>
    <row r="90" ht="15.75" customHeight="1" s="360"/>
    <row r="91" ht="15.75" customHeight="1" s="360"/>
    <row r="92" ht="15.75" customHeight="1" s="360"/>
    <row r="93" ht="15.75" customHeight="1" s="360"/>
    <row r="94" ht="15.75" customHeight="1" s="360"/>
    <row r="95" ht="15.75" customHeight="1" s="360"/>
    <row r="96" ht="15.75" customHeight="1" s="360"/>
    <row r="97" ht="15.75" customHeight="1" s="360"/>
    <row r="98" ht="15.75" customHeight="1" s="360"/>
    <row r="99" ht="15.75" customHeight="1" s="360"/>
    <row r="100" ht="15.75" customHeight="1" s="360"/>
    <row r="101" ht="15.75" customHeight="1" s="360"/>
    <row r="102" ht="15.75" customHeight="1" s="360"/>
    <row r="103" ht="15.75" customHeight="1" s="360"/>
    <row r="104" ht="15.75" customHeight="1" s="360"/>
    <row r="105" ht="15.75" customHeight="1" s="360"/>
    <row r="106" ht="15.75" customHeight="1" s="360"/>
    <row r="107" ht="15.75" customHeight="1" s="360"/>
    <row r="108" ht="15.75" customHeight="1" s="360"/>
    <row r="109" ht="15.75" customHeight="1" s="360"/>
    <row r="110" ht="15.75" customHeight="1" s="360"/>
    <row r="111" ht="15.75" customHeight="1" s="360"/>
    <row r="112" ht="15.75" customHeight="1" s="360"/>
    <row r="113" ht="15.75" customHeight="1" s="360"/>
    <row r="114" ht="15.75" customHeight="1" s="360"/>
    <row r="115" ht="15.75" customHeight="1" s="360"/>
    <row r="116" ht="15.75" customHeight="1" s="360"/>
    <row r="117" ht="15.75" customHeight="1" s="360"/>
    <row r="118" ht="15.75" customHeight="1" s="360"/>
    <row r="119" ht="15.75" customHeight="1" s="360"/>
    <row r="120" ht="15.75" customHeight="1" s="360"/>
    <row r="121" ht="15.75" customHeight="1" s="360"/>
    <row r="122" ht="15.75" customHeight="1" s="360"/>
    <row r="123" ht="15.75" customHeight="1" s="360"/>
    <row r="124" ht="15.75" customHeight="1" s="360"/>
    <row r="125" ht="15.75" customHeight="1" s="360"/>
    <row r="126" ht="15.75" customHeight="1" s="360"/>
    <row r="127" ht="15.75" customHeight="1" s="360"/>
    <row r="128" ht="15.75" customHeight="1" s="360"/>
    <row r="129" ht="15.75" customHeight="1" s="360"/>
    <row r="130" ht="15.75" customHeight="1" s="360"/>
    <row r="131" ht="15.75" customHeight="1" s="360"/>
    <row r="132" ht="15.75" customHeight="1" s="360"/>
    <row r="133" ht="15.75" customHeight="1" s="360"/>
    <row r="134" ht="15.75" customHeight="1" s="360"/>
    <row r="135" ht="15.75" customHeight="1" s="360"/>
    <row r="136" ht="15.75" customHeight="1" s="360"/>
    <row r="137" ht="15.75" customHeight="1" s="360"/>
    <row r="138" ht="15.75" customHeight="1" s="360"/>
    <row r="139" ht="15.75" customHeight="1" s="360"/>
    <row r="140" ht="15.75" customHeight="1" s="360"/>
    <row r="141" ht="15.75" customHeight="1" s="360"/>
    <row r="142" ht="15.75" customHeight="1" s="360"/>
    <row r="143" ht="15.75" customHeight="1" s="360"/>
    <row r="144" ht="15.75" customHeight="1" s="360"/>
    <row r="145" ht="15.75" customHeight="1" s="360"/>
    <row r="146" ht="15.75" customHeight="1" s="360"/>
    <row r="147" ht="15.75" customHeight="1" s="360"/>
    <row r="148" ht="15.75" customHeight="1" s="360"/>
    <row r="149" ht="15.75" customHeight="1" s="360"/>
    <row r="150" ht="15.75" customHeight="1" s="360"/>
    <row r="151" ht="15.75" customHeight="1" s="360"/>
    <row r="152" ht="15.75" customHeight="1" s="360"/>
    <row r="153" ht="15.75" customHeight="1" s="360"/>
    <row r="154" ht="15.75" customHeight="1" s="360"/>
    <row r="155" ht="15.75" customHeight="1" s="360"/>
    <row r="156" ht="15.75" customHeight="1" s="360"/>
    <row r="157" ht="15.75" customHeight="1" s="360"/>
    <row r="158" ht="15.75" customHeight="1" s="360"/>
    <row r="159" ht="15.75" customHeight="1" s="360"/>
    <row r="160" ht="15.75" customHeight="1" s="360"/>
    <row r="161" ht="15.75" customHeight="1" s="360"/>
    <row r="162" ht="15.75" customHeight="1" s="360"/>
    <row r="163" ht="15.75" customHeight="1" s="360"/>
    <row r="164" ht="15.75" customHeight="1" s="360"/>
    <row r="165" ht="15.75" customHeight="1" s="360"/>
    <row r="166" ht="15.75" customHeight="1" s="360"/>
    <row r="167" ht="15.75" customHeight="1" s="360"/>
    <row r="168" ht="15.75" customHeight="1" s="360"/>
    <row r="169" ht="15.75" customHeight="1" s="360"/>
    <row r="170" ht="15.75" customHeight="1" s="360"/>
    <row r="171" ht="15.75" customHeight="1" s="360"/>
    <row r="172" ht="15.75" customHeight="1" s="360"/>
    <row r="173" ht="15.75" customHeight="1" s="360"/>
    <row r="174" ht="15.75" customHeight="1" s="360"/>
    <row r="175" ht="15.75" customHeight="1" s="360"/>
    <row r="176" ht="15.75" customHeight="1" s="360"/>
    <row r="177" ht="15.75" customHeight="1" s="360"/>
    <row r="178" ht="15.75" customHeight="1" s="360"/>
    <row r="179" ht="15.75" customHeight="1" s="360"/>
    <row r="180" ht="15.75" customHeight="1" s="360"/>
    <row r="181" ht="15.75" customHeight="1" s="360"/>
    <row r="182" ht="15.75" customHeight="1" s="360"/>
    <row r="183" ht="15.75" customHeight="1" s="360"/>
    <row r="184" ht="15.75" customHeight="1" s="360"/>
    <row r="185" ht="15.75" customHeight="1" s="360"/>
    <row r="186" ht="15.75" customHeight="1" s="360"/>
    <row r="187" ht="15.75" customHeight="1" s="360"/>
    <row r="188" ht="15.75" customHeight="1" s="360"/>
    <row r="189" ht="15.75" customHeight="1" s="360"/>
    <row r="190" ht="15.75" customHeight="1" s="360"/>
    <row r="191" ht="15.75" customHeight="1" s="360"/>
    <row r="192" ht="15.75" customHeight="1" s="360"/>
    <row r="193" ht="15.75" customHeight="1" s="360"/>
    <row r="194" ht="15.75" customHeight="1" s="360"/>
    <row r="195" ht="15.75" customHeight="1" s="360"/>
    <row r="196" ht="15.75" customHeight="1" s="360"/>
    <row r="197" ht="15.75" customHeight="1" s="360"/>
    <row r="198" ht="15.75" customHeight="1" s="360"/>
    <row r="199" ht="15.75" customHeight="1" s="360"/>
    <row r="200" ht="15.75" customHeight="1" s="360"/>
    <row r="201" ht="15.75" customHeight="1" s="360"/>
    <row r="202" ht="15.75" customHeight="1" s="360"/>
    <row r="203" ht="15.75" customHeight="1" s="360"/>
    <row r="204" ht="15.75" customHeight="1" s="360"/>
    <row r="205" ht="15.75" customHeight="1" s="360"/>
    <row r="206" ht="15.75" customHeight="1" s="360"/>
    <row r="207" ht="15.75" customHeight="1" s="360"/>
    <row r="208" ht="15.75" customHeight="1" s="360"/>
    <row r="209" ht="15.75" customHeight="1" s="360"/>
    <row r="210" ht="15.75" customHeight="1" s="360"/>
    <row r="211" ht="15.75" customHeight="1" s="360"/>
    <row r="212" ht="15.75" customHeight="1" s="360"/>
    <row r="213" ht="15.75" customHeight="1" s="360"/>
    <row r="214" ht="15.75" customHeight="1" s="360"/>
    <row r="215" ht="15.75" customHeight="1" s="360"/>
    <row r="216" ht="15.75" customHeight="1" s="360"/>
    <row r="217" ht="15.75" customHeight="1" s="360"/>
    <row r="218" ht="15.75" customHeight="1" s="360"/>
    <row r="219" ht="15.75" customHeight="1" s="360"/>
    <row r="220" ht="15.75" customHeight="1" s="360"/>
    <row r="221" ht="15.75" customHeight="1" s="360"/>
    <row r="222" ht="15.75" customHeight="1" s="360"/>
    <row r="223" ht="15.75" customHeight="1" s="360"/>
    <row r="224" ht="15.75" customHeight="1" s="360"/>
    <row r="225" ht="15.75" customHeight="1" s="360"/>
    <row r="226" ht="15.75" customHeight="1" s="360"/>
    <row r="227" ht="15.75" customHeight="1" s="360"/>
    <row r="228" ht="15.75" customHeight="1" s="360"/>
    <row r="229" ht="15.75" customHeight="1" s="360"/>
    <row r="230" ht="15.75" customHeight="1" s="360"/>
    <row r="231" ht="15.75" customHeight="1" s="360"/>
    <row r="232" ht="15.75" customHeight="1" s="360"/>
    <row r="233" ht="15.75" customHeight="1" s="360"/>
    <row r="234" ht="15.75" customHeight="1" s="360"/>
    <row r="235" ht="15.75" customHeight="1" s="360"/>
    <row r="236" ht="15.75" customHeight="1" s="360"/>
    <row r="237" ht="15.75" customHeight="1" s="360"/>
    <row r="238" ht="15.75" customHeight="1" s="360"/>
    <row r="239" ht="15.75" customHeight="1" s="360"/>
    <row r="240" ht="15.75" customHeight="1" s="360"/>
    <row r="241" ht="15.75" customHeight="1" s="360"/>
    <row r="242" ht="15.75" customHeight="1" s="360"/>
    <row r="243" ht="15.75" customHeight="1" s="360"/>
    <row r="244" ht="15.75" customHeight="1" s="360"/>
    <row r="245" ht="15.75" customHeight="1" s="360"/>
    <row r="246" ht="15.75" customHeight="1" s="360"/>
    <row r="247" ht="15.75" customHeight="1" s="360"/>
    <row r="248" ht="15.75" customHeight="1" s="360"/>
    <row r="249" ht="15.75" customHeight="1" s="360"/>
    <row r="250" ht="15.75" customHeight="1" s="360"/>
    <row r="251" ht="15.75" customHeight="1" s="360"/>
    <row r="252" ht="15.75" customHeight="1" s="360"/>
    <row r="253" ht="15.75" customHeight="1" s="360"/>
    <row r="254" ht="15.75" customHeight="1" s="360"/>
    <row r="255" ht="15.75" customHeight="1" s="360"/>
    <row r="256" ht="15.75" customHeight="1" s="360"/>
    <row r="257" ht="15.75" customHeight="1" s="360"/>
    <row r="258" ht="15.75" customHeight="1" s="360"/>
    <row r="259" ht="15.75" customHeight="1" s="360"/>
    <row r="260" ht="15.75" customHeight="1" s="360"/>
    <row r="261" ht="15.75" customHeight="1" s="360"/>
    <row r="262" ht="15.75" customHeight="1" s="360"/>
    <row r="263" ht="15.75" customHeight="1" s="360"/>
    <row r="264" ht="15.75" customHeight="1" s="360"/>
    <row r="265" ht="15.75" customHeight="1" s="360"/>
    <row r="266" ht="15.75" customHeight="1" s="360"/>
    <row r="267" ht="15.75" customHeight="1" s="360"/>
    <row r="268" ht="15.75" customHeight="1" s="360"/>
    <row r="269" ht="15.75" customHeight="1" s="360"/>
    <row r="270" ht="15.75" customHeight="1" s="360"/>
    <row r="271" ht="15.75" customHeight="1" s="360"/>
    <row r="272" ht="15.75" customHeight="1" s="360"/>
    <row r="273" ht="15.75" customHeight="1" s="360"/>
    <row r="274" ht="15.75" customHeight="1" s="360"/>
    <row r="275" ht="15.75" customHeight="1" s="360"/>
    <row r="276" ht="15.75" customHeight="1" s="360"/>
    <row r="277" ht="15.75" customHeight="1" s="360"/>
    <row r="278" ht="15.75" customHeight="1" s="360"/>
    <row r="279" ht="15.75" customHeight="1" s="360"/>
    <row r="280" ht="15.75" customHeight="1" s="360"/>
    <row r="281" ht="15.75" customHeight="1" s="360"/>
    <row r="282" ht="15.75" customHeight="1" s="360"/>
    <row r="283" ht="15.75" customHeight="1" s="360"/>
    <row r="284" ht="15.75" customHeight="1" s="360"/>
    <row r="285" ht="15.75" customHeight="1" s="360"/>
    <row r="286" ht="15.75" customHeight="1" s="360"/>
    <row r="287" ht="15.75" customHeight="1" s="360"/>
    <row r="288" ht="15.75" customHeight="1" s="360"/>
    <row r="289" ht="15.75" customHeight="1" s="360"/>
    <row r="290" ht="15.75" customHeight="1" s="360"/>
    <row r="291" ht="15.75" customHeight="1" s="360"/>
    <row r="292" ht="15.75" customHeight="1" s="360"/>
    <row r="293" ht="15.75" customHeight="1" s="360"/>
    <row r="294" ht="15.75" customHeight="1" s="360"/>
    <row r="295" ht="15.75" customHeight="1" s="360"/>
    <row r="296" ht="15.75" customHeight="1" s="360"/>
    <row r="297" ht="15.75" customHeight="1" s="360"/>
    <row r="298" ht="15.75" customHeight="1" s="360"/>
    <row r="299" ht="15.75" customHeight="1" s="360"/>
    <row r="300" ht="15.75" customHeight="1" s="360"/>
    <row r="301" ht="15.75" customHeight="1" s="360"/>
    <row r="302" ht="15.75" customHeight="1" s="360"/>
    <row r="303" ht="15.75" customHeight="1" s="360"/>
    <row r="304" ht="15.75" customHeight="1" s="360"/>
    <row r="305" ht="15.75" customHeight="1" s="360"/>
    <row r="306" ht="15.75" customHeight="1" s="360"/>
    <row r="307" ht="15.75" customHeight="1" s="360"/>
    <row r="308" ht="15.75" customHeight="1" s="360"/>
    <row r="309" ht="15.75" customHeight="1" s="360"/>
    <row r="310" ht="15.75" customHeight="1" s="360"/>
    <row r="311" ht="15.75" customHeight="1" s="360"/>
    <row r="312" ht="15.75" customHeight="1" s="360"/>
    <row r="313" ht="15.75" customHeight="1" s="360"/>
    <row r="314" ht="15.75" customHeight="1" s="360"/>
    <row r="315" ht="15.75" customHeight="1" s="360"/>
    <row r="316" ht="15.75" customHeight="1" s="360"/>
    <row r="317" ht="15.75" customHeight="1" s="360"/>
    <row r="318" ht="15.75" customHeight="1" s="360"/>
    <row r="319" ht="15.75" customHeight="1" s="360"/>
    <row r="320" ht="15.75" customHeight="1" s="360"/>
    <row r="321" ht="15.75" customHeight="1" s="360"/>
    <row r="322" ht="15.75" customHeight="1" s="360"/>
    <row r="323" ht="15.75" customHeight="1" s="360"/>
    <row r="324" ht="15.75" customHeight="1" s="360"/>
    <row r="325" ht="15.75" customHeight="1" s="360"/>
    <row r="326" ht="15.75" customHeight="1" s="360"/>
    <row r="327" ht="15.75" customHeight="1" s="360"/>
    <row r="328" ht="15.75" customHeight="1" s="360"/>
    <row r="329" ht="15.75" customHeight="1" s="360"/>
    <row r="330" ht="15.75" customHeight="1" s="360"/>
    <row r="331" ht="15.75" customHeight="1" s="360"/>
    <row r="332" ht="15.75" customHeight="1" s="360"/>
    <row r="333" ht="15.75" customHeight="1" s="360"/>
    <row r="334" ht="15.75" customHeight="1" s="360"/>
    <row r="335" ht="15.75" customHeight="1" s="360"/>
    <row r="336" ht="15.75" customHeight="1" s="360"/>
    <row r="337" ht="15.75" customHeight="1" s="360"/>
    <row r="338" ht="15.75" customHeight="1" s="360"/>
    <row r="339" ht="15.75" customHeight="1" s="360"/>
    <row r="340" ht="15.75" customHeight="1" s="360"/>
    <row r="341" ht="15.75" customHeight="1" s="360"/>
    <row r="342" ht="15.75" customHeight="1" s="360"/>
    <row r="343" ht="15.75" customHeight="1" s="360"/>
    <row r="344" ht="15.75" customHeight="1" s="360"/>
    <row r="345" ht="15.75" customHeight="1" s="360"/>
    <row r="346" ht="15.75" customHeight="1" s="360"/>
    <row r="347" ht="15.75" customHeight="1" s="360"/>
    <row r="348" ht="15.75" customHeight="1" s="360"/>
    <row r="349" ht="15.75" customHeight="1" s="360"/>
    <row r="350" ht="15.75" customHeight="1" s="360"/>
    <row r="351" ht="15.75" customHeight="1" s="360"/>
    <row r="352" ht="15.75" customHeight="1" s="360"/>
    <row r="353" ht="15.75" customHeight="1" s="360"/>
    <row r="354" ht="15.75" customHeight="1" s="360"/>
    <row r="355" ht="15.75" customHeight="1" s="360"/>
    <row r="356" ht="15.75" customHeight="1" s="360"/>
    <row r="357" ht="15.75" customHeight="1" s="360"/>
    <row r="358" ht="15.75" customHeight="1" s="360"/>
    <row r="359" ht="15.75" customHeight="1" s="360"/>
    <row r="360" ht="15.75" customHeight="1" s="360"/>
    <row r="361" ht="15.75" customHeight="1" s="360"/>
    <row r="362" ht="15.75" customHeight="1" s="360"/>
    <row r="363" ht="15.75" customHeight="1" s="360"/>
    <row r="364" ht="15.75" customHeight="1" s="360"/>
    <row r="365" ht="15.75" customHeight="1" s="360"/>
    <row r="366" ht="15.75" customHeight="1" s="360"/>
    <row r="367" ht="15.75" customHeight="1" s="360"/>
    <row r="368" ht="15.75" customHeight="1" s="360"/>
    <row r="369" ht="15.75" customHeight="1" s="360"/>
    <row r="370" ht="15.75" customHeight="1" s="360"/>
    <row r="371" ht="15.75" customHeight="1" s="360"/>
    <row r="372" ht="15.75" customHeight="1" s="360"/>
    <row r="373" ht="15.75" customHeight="1" s="360"/>
    <row r="374" ht="15.75" customHeight="1" s="360"/>
    <row r="375" ht="15.75" customHeight="1" s="360"/>
    <row r="376" ht="15.75" customHeight="1" s="360"/>
    <row r="377" ht="15.75" customHeight="1" s="360"/>
    <row r="378" ht="15.75" customHeight="1" s="360"/>
    <row r="379" ht="15.75" customHeight="1" s="360"/>
    <row r="380" ht="15.75" customHeight="1" s="360"/>
    <row r="381" ht="15.75" customHeight="1" s="360"/>
    <row r="382" ht="15.75" customHeight="1" s="360"/>
    <row r="383" ht="15.75" customHeight="1" s="360"/>
    <row r="384" ht="15.75" customHeight="1" s="360"/>
    <row r="385" ht="15.75" customHeight="1" s="360"/>
    <row r="386" ht="15.75" customHeight="1" s="360"/>
    <row r="387" ht="15.75" customHeight="1" s="360"/>
    <row r="388" ht="15.75" customHeight="1" s="360"/>
    <row r="389" ht="15.75" customHeight="1" s="360"/>
    <row r="390" ht="15.75" customHeight="1" s="360"/>
    <row r="391" ht="15.75" customHeight="1" s="360"/>
    <row r="392" ht="15.75" customHeight="1" s="360"/>
    <row r="393" ht="15.75" customHeight="1" s="360"/>
    <row r="394" ht="15.75" customHeight="1" s="360"/>
    <row r="395" ht="15.75" customHeight="1" s="360"/>
    <row r="396" ht="15.75" customHeight="1" s="360"/>
    <row r="397" ht="15.75" customHeight="1" s="360"/>
    <row r="398" ht="15.75" customHeight="1" s="360"/>
    <row r="399" ht="15.75" customHeight="1" s="360"/>
    <row r="400" ht="15.75" customHeight="1" s="360"/>
    <row r="401" ht="15.75" customHeight="1" s="360"/>
    <row r="402" ht="15.75" customHeight="1" s="360"/>
    <row r="403" ht="15.75" customHeight="1" s="360"/>
    <row r="404" ht="15.75" customHeight="1" s="360"/>
    <row r="405" ht="15.75" customHeight="1" s="360"/>
    <row r="406" ht="15.75" customHeight="1" s="360"/>
    <row r="407" ht="15.75" customHeight="1" s="360"/>
    <row r="408" ht="15.75" customHeight="1" s="360"/>
    <row r="409" ht="15.75" customHeight="1" s="360"/>
    <row r="410" ht="15.75" customHeight="1" s="360"/>
    <row r="411" ht="15.75" customHeight="1" s="360"/>
    <row r="412" ht="15.75" customHeight="1" s="360"/>
    <row r="413" ht="15.75" customHeight="1" s="360"/>
    <row r="414" ht="15.75" customHeight="1" s="360"/>
    <row r="415" ht="15.75" customHeight="1" s="360"/>
    <row r="416" ht="15.75" customHeight="1" s="360"/>
    <row r="417" ht="15.75" customHeight="1" s="360"/>
    <row r="418" ht="15.75" customHeight="1" s="360"/>
    <row r="419" ht="15.75" customHeight="1" s="360"/>
    <row r="420" ht="15.75" customHeight="1" s="360"/>
    <row r="421" ht="15.75" customHeight="1" s="360"/>
    <row r="422" ht="15.75" customHeight="1" s="360"/>
    <row r="423" ht="15.75" customHeight="1" s="360"/>
    <row r="424" ht="15.75" customHeight="1" s="360"/>
    <row r="425" ht="15.75" customHeight="1" s="360"/>
    <row r="426" ht="15.75" customHeight="1" s="360"/>
    <row r="427" ht="15.75" customHeight="1" s="360"/>
    <row r="428" ht="15.75" customHeight="1" s="360"/>
    <row r="429" ht="15.75" customHeight="1" s="360"/>
    <row r="430" ht="15.75" customHeight="1" s="360"/>
    <row r="431" ht="15.75" customHeight="1" s="360"/>
    <row r="432" ht="15.75" customHeight="1" s="360"/>
    <row r="433" ht="15.75" customHeight="1" s="360"/>
    <row r="434" ht="15.75" customHeight="1" s="360"/>
    <row r="435" ht="15.75" customHeight="1" s="360"/>
    <row r="436" ht="15.75" customHeight="1" s="360"/>
    <row r="437" ht="15.75" customHeight="1" s="360"/>
    <row r="438" ht="15.75" customHeight="1" s="360"/>
    <row r="439" ht="15.75" customHeight="1" s="360"/>
    <row r="440" ht="15.75" customHeight="1" s="360"/>
    <row r="441" ht="15.75" customHeight="1" s="360"/>
    <row r="442" ht="15.75" customHeight="1" s="360"/>
    <row r="443" ht="15.75" customHeight="1" s="360"/>
    <row r="444" ht="15.75" customHeight="1" s="360"/>
    <row r="445" ht="15.75" customHeight="1" s="360"/>
    <row r="446" ht="15.75" customHeight="1" s="360"/>
    <row r="447" ht="15.75" customHeight="1" s="360"/>
    <row r="448" ht="15.75" customHeight="1" s="360"/>
    <row r="449" ht="15.75" customHeight="1" s="360"/>
    <row r="450" ht="15.75" customHeight="1" s="360"/>
    <row r="451" ht="15.75" customHeight="1" s="360"/>
    <row r="452" ht="15.75" customHeight="1" s="360"/>
    <row r="453" ht="15.75" customHeight="1" s="360"/>
    <row r="454" ht="15.75" customHeight="1" s="360"/>
    <row r="455" ht="15.75" customHeight="1" s="360"/>
    <row r="456" ht="15.75" customHeight="1" s="360"/>
    <row r="457" ht="15.75" customHeight="1" s="360"/>
    <row r="458" ht="15.75" customHeight="1" s="360"/>
    <row r="459" ht="15.75" customHeight="1" s="360"/>
    <row r="460" ht="15.75" customHeight="1" s="360"/>
    <row r="461" ht="15.75" customHeight="1" s="360"/>
    <row r="462" ht="15.75" customHeight="1" s="360"/>
    <row r="463" ht="15.75" customHeight="1" s="360"/>
    <row r="464" ht="15.75" customHeight="1" s="360"/>
    <row r="465" ht="15.75" customHeight="1" s="360"/>
    <row r="466" ht="15.75" customHeight="1" s="360"/>
    <row r="467" ht="15.75" customHeight="1" s="360"/>
    <row r="468" ht="15.75" customHeight="1" s="360"/>
    <row r="469" ht="15.75" customHeight="1" s="360"/>
    <row r="470" ht="15.75" customHeight="1" s="360"/>
    <row r="471" ht="15.75" customHeight="1" s="360"/>
    <row r="472" ht="15.75" customHeight="1" s="360"/>
    <row r="473" ht="15.75" customHeight="1" s="360"/>
    <row r="474" ht="15.75" customHeight="1" s="360"/>
    <row r="475" ht="15.75" customHeight="1" s="360"/>
    <row r="476" ht="15.75" customHeight="1" s="360"/>
    <row r="477" ht="15.75" customHeight="1" s="360"/>
    <row r="478" ht="15.75" customHeight="1" s="360"/>
    <row r="479" ht="15.75" customHeight="1" s="360"/>
    <row r="480" ht="15.75" customHeight="1" s="360"/>
    <row r="481" ht="15.75" customHeight="1" s="360"/>
    <row r="482" ht="15.75" customHeight="1" s="360"/>
    <row r="483" ht="15.75" customHeight="1" s="360"/>
    <row r="484" ht="15.75" customHeight="1" s="360"/>
    <row r="485" ht="15.75" customHeight="1" s="360"/>
    <row r="486" ht="15.75" customHeight="1" s="360"/>
    <row r="487" ht="15.75" customHeight="1" s="360"/>
    <row r="488" ht="15.75" customHeight="1" s="360"/>
    <row r="489" ht="15.75" customHeight="1" s="360"/>
    <row r="490" ht="15.75" customHeight="1" s="360"/>
    <row r="491" ht="15.75" customHeight="1" s="360"/>
    <row r="492" ht="15.75" customHeight="1" s="360"/>
    <row r="493" ht="15.75" customHeight="1" s="360"/>
    <row r="494" ht="15.75" customHeight="1" s="360"/>
    <row r="495" ht="15.75" customHeight="1" s="360"/>
    <row r="496" ht="15.75" customHeight="1" s="360"/>
    <row r="497" ht="15.75" customHeight="1" s="360"/>
    <row r="498" ht="15.75" customHeight="1" s="360"/>
    <row r="499" ht="15.75" customHeight="1" s="360"/>
    <row r="500" ht="15.75" customHeight="1" s="360"/>
    <row r="501" ht="15.75" customHeight="1" s="360"/>
    <row r="502" ht="15.75" customHeight="1" s="360"/>
    <row r="503" ht="15.75" customHeight="1" s="360"/>
    <row r="504" ht="15.75" customHeight="1" s="360"/>
    <row r="505" ht="15.75" customHeight="1" s="360"/>
    <row r="506" ht="15.75" customHeight="1" s="360"/>
    <row r="507" ht="15.75" customHeight="1" s="360"/>
    <row r="508" ht="15.75" customHeight="1" s="360"/>
    <row r="509" ht="15.75" customHeight="1" s="360"/>
    <row r="510" ht="15.75" customHeight="1" s="360"/>
    <row r="511" ht="15.75" customHeight="1" s="360"/>
    <row r="512" ht="15.75" customHeight="1" s="360"/>
    <row r="513" ht="15.75" customHeight="1" s="360"/>
    <row r="514" ht="15.75" customHeight="1" s="360"/>
    <row r="515" ht="15.75" customHeight="1" s="360"/>
    <row r="516" ht="15.75" customHeight="1" s="360"/>
    <row r="517" ht="15.75" customHeight="1" s="360"/>
    <row r="518" ht="15.75" customHeight="1" s="360"/>
    <row r="519" ht="15.75" customHeight="1" s="360"/>
    <row r="520" ht="15.75" customHeight="1" s="360"/>
    <row r="521" ht="15.75" customHeight="1" s="360"/>
    <row r="522" ht="15.75" customHeight="1" s="360"/>
    <row r="523" ht="15.75" customHeight="1" s="360"/>
    <row r="524" ht="15.75" customHeight="1" s="360"/>
    <row r="525" ht="15.75" customHeight="1" s="360"/>
    <row r="526" ht="15.75" customHeight="1" s="360"/>
    <row r="527" ht="15.75" customHeight="1" s="360"/>
    <row r="528" ht="15.75" customHeight="1" s="360"/>
    <row r="529" ht="15.75" customHeight="1" s="360"/>
    <row r="530" ht="15.75" customHeight="1" s="360"/>
    <row r="531" ht="15.75" customHeight="1" s="360"/>
    <row r="532" ht="15.75" customHeight="1" s="360"/>
    <row r="533" ht="15.75" customHeight="1" s="360"/>
    <row r="534" ht="15.75" customHeight="1" s="360"/>
    <row r="535" ht="15.75" customHeight="1" s="360"/>
    <row r="536" ht="15.75" customHeight="1" s="360"/>
    <row r="537" ht="15.75" customHeight="1" s="360"/>
    <row r="538" ht="15.75" customHeight="1" s="360"/>
    <row r="539" ht="15.75" customHeight="1" s="360"/>
    <row r="540" ht="15.75" customHeight="1" s="360"/>
    <row r="541" ht="15.75" customHeight="1" s="360"/>
    <row r="542" ht="15.75" customHeight="1" s="360"/>
    <row r="543" ht="15.75" customHeight="1" s="360"/>
    <row r="544" ht="15.75" customHeight="1" s="360"/>
    <row r="545" ht="15.75" customHeight="1" s="360"/>
    <row r="546" ht="15.75" customHeight="1" s="360"/>
    <row r="547" ht="15.75" customHeight="1" s="360"/>
    <row r="548" ht="15.75" customHeight="1" s="360"/>
    <row r="549" ht="15.75" customHeight="1" s="360"/>
    <row r="550" ht="15.75" customHeight="1" s="360"/>
    <row r="551" ht="15.75" customHeight="1" s="360"/>
    <row r="552" ht="15.75" customHeight="1" s="360"/>
    <row r="553" ht="15.75" customHeight="1" s="360"/>
    <row r="554" ht="15.75" customHeight="1" s="360"/>
    <row r="555" ht="15.75" customHeight="1" s="360"/>
    <row r="556" ht="15.75" customHeight="1" s="360"/>
    <row r="557" ht="15.75" customHeight="1" s="360"/>
    <row r="558" ht="15.75" customHeight="1" s="360"/>
    <row r="559" ht="15.75" customHeight="1" s="360"/>
    <row r="560" ht="15.75" customHeight="1" s="360"/>
    <row r="561" ht="15.75" customHeight="1" s="360"/>
    <row r="562" ht="15.75" customHeight="1" s="360"/>
    <row r="563" ht="15.75" customHeight="1" s="360"/>
    <row r="564" ht="15.75" customHeight="1" s="360"/>
    <row r="565" ht="15.75" customHeight="1" s="360"/>
    <row r="566" ht="15.75" customHeight="1" s="360"/>
    <row r="567" ht="15.75" customHeight="1" s="360"/>
    <row r="568" ht="15.75" customHeight="1" s="360"/>
    <row r="569" ht="15.75" customHeight="1" s="360"/>
    <row r="570" ht="15.75" customHeight="1" s="360"/>
    <row r="571" ht="15.75" customHeight="1" s="360"/>
    <row r="572" ht="15.75" customHeight="1" s="360"/>
    <row r="573" ht="15.75" customHeight="1" s="360"/>
    <row r="574" ht="15.75" customHeight="1" s="360"/>
    <row r="575" ht="15.75" customHeight="1" s="360"/>
    <row r="576" ht="15.75" customHeight="1" s="360"/>
    <row r="577" ht="15.75" customHeight="1" s="360"/>
    <row r="578" ht="15.75" customHeight="1" s="360"/>
    <row r="579" ht="15.75" customHeight="1" s="360"/>
    <row r="580" ht="15.75" customHeight="1" s="360"/>
    <row r="581" ht="15.75" customHeight="1" s="360"/>
    <row r="582" ht="15.75" customHeight="1" s="360"/>
    <row r="583" ht="15.75" customHeight="1" s="360"/>
    <row r="584" ht="15.75" customHeight="1" s="360"/>
    <row r="585" ht="15.75" customHeight="1" s="360"/>
    <row r="586" ht="15.75" customHeight="1" s="360"/>
    <row r="587" ht="15.75" customHeight="1" s="360"/>
    <row r="588" ht="15.75" customHeight="1" s="360"/>
    <row r="589" ht="15.75" customHeight="1" s="360"/>
    <row r="590" ht="15.75" customHeight="1" s="360"/>
    <row r="591" ht="15.75" customHeight="1" s="360"/>
    <row r="592" ht="15.75" customHeight="1" s="360"/>
    <row r="593" ht="15.75" customHeight="1" s="360"/>
    <row r="594" ht="15.75" customHeight="1" s="360"/>
    <row r="595" ht="15.75" customHeight="1" s="360"/>
    <row r="596" ht="15.75" customHeight="1" s="360"/>
    <row r="597" ht="15.75" customHeight="1" s="360"/>
    <row r="598" ht="15.75" customHeight="1" s="360"/>
    <row r="599" ht="15.75" customHeight="1" s="360"/>
    <row r="600" ht="15.75" customHeight="1" s="360"/>
    <row r="601" ht="15.75" customHeight="1" s="360"/>
    <row r="602" ht="15.75" customHeight="1" s="360"/>
    <row r="603" ht="15.75" customHeight="1" s="360"/>
    <row r="604" ht="15.75" customHeight="1" s="360"/>
    <row r="605" ht="15.75" customHeight="1" s="360"/>
    <row r="606" ht="15.75" customHeight="1" s="360"/>
    <row r="607" ht="15.75" customHeight="1" s="360"/>
    <row r="608" ht="15.75" customHeight="1" s="360"/>
    <row r="609" ht="15.75" customHeight="1" s="360"/>
    <row r="610" ht="15.75" customHeight="1" s="360"/>
    <row r="611" ht="15.75" customHeight="1" s="360"/>
    <row r="612" ht="15.75" customHeight="1" s="360"/>
    <row r="613" ht="15.75" customHeight="1" s="360"/>
    <row r="614" ht="15.75" customHeight="1" s="360"/>
    <row r="615" ht="15.75" customHeight="1" s="360"/>
    <row r="616" ht="15.75" customHeight="1" s="360"/>
    <row r="617" ht="15.75" customHeight="1" s="360"/>
    <row r="618" ht="15.75" customHeight="1" s="360"/>
    <row r="619" ht="15.75" customHeight="1" s="360"/>
    <row r="620" ht="15.75" customHeight="1" s="360"/>
    <row r="621" ht="15.75" customHeight="1" s="360"/>
    <row r="622" ht="15.75" customHeight="1" s="360"/>
    <row r="623" ht="15.75" customHeight="1" s="360"/>
    <row r="624" ht="15.75" customHeight="1" s="360"/>
    <row r="625" ht="15.75" customHeight="1" s="360"/>
    <row r="626" ht="15.75" customHeight="1" s="360"/>
    <row r="627" ht="15.75" customHeight="1" s="360"/>
    <row r="628" ht="15.75" customHeight="1" s="360"/>
    <row r="629" ht="15.75" customHeight="1" s="360"/>
    <row r="630" ht="15.75" customHeight="1" s="360"/>
    <row r="631" ht="15.75" customHeight="1" s="360"/>
    <row r="632" ht="15.75" customHeight="1" s="360"/>
    <row r="633" ht="15.75" customHeight="1" s="360"/>
    <row r="634" ht="15.75" customHeight="1" s="360"/>
    <row r="635" ht="15.75" customHeight="1" s="360"/>
    <row r="636" ht="15.75" customHeight="1" s="360"/>
    <row r="637" ht="15.75" customHeight="1" s="360"/>
    <row r="638" ht="15.75" customHeight="1" s="360"/>
    <row r="639" ht="15.75" customHeight="1" s="360"/>
    <row r="640" ht="15.75" customHeight="1" s="360"/>
    <row r="641" ht="15.75" customHeight="1" s="360"/>
    <row r="642" ht="15.75" customHeight="1" s="360"/>
    <row r="643" ht="15.75" customHeight="1" s="360"/>
    <row r="644" ht="15.75" customHeight="1" s="360"/>
    <row r="645" ht="15.75" customHeight="1" s="360"/>
    <row r="646" ht="15.75" customHeight="1" s="360"/>
    <row r="647" ht="15.75" customHeight="1" s="360"/>
    <row r="648" ht="15.75" customHeight="1" s="360"/>
    <row r="649" ht="15.75" customHeight="1" s="360"/>
    <row r="650" ht="15.75" customHeight="1" s="360"/>
    <row r="651" ht="15.75" customHeight="1" s="360"/>
    <row r="652" ht="15.75" customHeight="1" s="360"/>
    <row r="653" ht="15.75" customHeight="1" s="360"/>
    <row r="654" ht="15.75" customHeight="1" s="360"/>
    <row r="655" ht="15.75" customHeight="1" s="360"/>
    <row r="656" ht="15.75" customHeight="1" s="360"/>
    <row r="657" ht="15.75" customHeight="1" s="360"/>
    <row r="658" ht="15.75" customHeight="1" s="360"/>
    <row r="659" ht="15.75" customHeight="1" s="360"/>
    <row r="660" ht="15.75" customHeight="1" s="360"/>
    <row r="661" ht="15.75" customHeight="1" s="360"/>
    <row r="662" ht="15.75" customHeight="1" s="360"/>
    <row r="663" ht="15.75" customHeight="1" s="360"/>
    <row r="664" ht="15.75" customHeight="1" s="360"/>
    <row r="665" ht="15.75" customHeight="1" s="360"/>
    <row r="666" ht="15.75" customHeight="1" s="360"/>
    <row r="667" ht="15.75" customHeight="1" s="360"/>
    <row r="668" ht="15.75" customHeight="1" s="360"/>
    <row r="669" ht="15.75" customHeight="1" s="360"/>
    <row r="670" ht="15.75" customHeight="1" s="360"/>
    <row r="671" ht="15.75" customHeight="1" s="360"/>
    <row r="672" ht="15.75" customHeight="1" s="360"/>
    <row r="673" ht="15.75" customHeight="1" s="360"/>
    <row r="674" ht="15.75" customHeight="1" s="360"/>
    <row r="675" ht="15.75" customHeight="1" s="360"/>
    <row r="676" ht="15.75" customHeight="1" s="360"/>
    <row r="677" ht="15.75" customHeight="1" s="360"/>
    <row r="678" ht="15.75" customHeight="1" s="360"/>
    <row r="679" ht="15.75" customHeight="1" s="360"/>
    <row r="680" ht="15.75" customHeight="1" s="360"/>
    <row r="681" ht="15.75" customHeight="1" s="360"/>
    <row r="682" ht="15.75" customHeight="1" s="360"/>
    <row r="683" ht="15.75" customHeight="1" s="360"/>
    <row r="684" ht="15.75" customHeight="1" s="360"/>
    <row r="685" ht="15.75" customHeight="1" s="360"/>
    <row r="686" ht="15.75" customHeight="1" s="360"/>
    <row r="687" ht="15.75" customHeight="1" s="360"/>
    <row r="688" ht="15.75" customHeight="1" s="360"/>
    <row r="689" ht="15.75" customHeight="1" s="360"/>
    <row r="690" ht="15.75" customHeight="1" s="360"/>
    <row r="691" ht="15.75" customHeight="1" s="360"/>
    <row r="692" ht="15.75" customHeight="1" s="360"/>
    <row r="693" ht="15.75" customHeight="1" s="360"/>
    <row r="694" ht="15.75" customHeight="1" s="360"/>
    <row r="695" ht="15.75" customHeight="1" s="360"/>
    <row r="696" ht="15.75" customHeight="1" s="360"/>
    <row r="697" ht="15.75" customHeight="1" s="360"/>
    <row r="698" ht="15.75" customHeight="1" s="360"/>
    <row r="699" ht="15.75" customHeight="1" s="360"/>
    <row r="700" ht="15.75" customHeight="1" s="360"/>
    <row r="701" ht="15.75" customHeight="1" s="360"/>
    <row r="702" ht="15.75" customHeight="1" s="360"/>
    <row r="703" ht="15.75" customHeight="1" s="360"/>
    <row r="704" ht="15.75" customHeight="1" s="360"/>
    <row r="705" ht="15.75" customHeight="1" s="360"/>
    <row r="706" ht="15.75" customHeight="1" s="360"/>
    <row r="707" ht="15.75" customHeight="1" s="360"/>
    <row r="708" ht="15.75" customHeight="1" s="360"/>
    <row r="709" ht="15.75" customHeight="1" s="360"/>
    <row r="710" ht="15.75" customHeight="1" s="360"/>
    <row r="711" ht="15.75" customHeight="1" s="360"/>
    <row r="712" ht="15.75" customHeight="1" s="360"/>
    <row r="713" ht="15.75" customHeight="1" s="360"/>
    <row r="714" ht="15.75" customHeight="1" s="360"/>
    <row r="715" ht="15.75" customHeight="1" s="360"/>
    <row r="716" ht="15.75" customHeight="1" s="360"/>
    <row r="717" ht="15.75" customHeight="1" s="360"/>
    <row r="718" ht="15.75" customHeight="1" s="360"/>
    <row r="719" ht="15.75" customHeight="1" s="360"/>
    <row r="720" ht="15.75" customHeight="1" s="360"/>
    <row r="721" ht="15.75" customHeight="1" s="360"/>
    <row r="722" ht="15.75" customHeight="1" s="360"/>
    <row r="723" ht="15.75" customHeight="1" s="360"/>
    <row r="724" ht="15.75" customHeight="1" s="360"/>
    <row r="725" ht="15.75" customHeight="1" s="360"/>
    <row r="726" ht="15.75" customHeight="1" s="360"/>
    <row r="727" ht="15.75" customHeight="1" s="360"/>
    <row r="728" ht="15.75" customHeight="1" s="360"/>
    <row r="729" ht="15.75" customHeight="1" s="360"/>
    <row r="730" ht="15.75" customHeight="1" s="360"/>
    <row r="731" ht="15.75" customHeight="1" s="360"/>
    <row r="732" ht="15.75" customHeight="1" s="360"/>
    <row r="733" ht="15.75" customHeight="1" s="360"/>
    <row r="734" ht="15.75" customHeight="1" s="360"/>
    <row r="735" ht="15.75" customHeight="1" s="360"/>
    <row r="736" ht="15.75" customHeight="1" s="360"/>
    <row r="737" ht="15.75" customHeight="1" s="360"/>
    <row r="738" ht="15.75" customHeight="1" s="360"/>
    <row r="739" ht="15.75" customHeight="1" s="360"/>
    <row r="740" ht="15.75" customHeight="1" s="360"/>
    <row r="741" ht="15.75" customHeight="1" s="360"/>
    <row r="742" ht="15.75" customHeight="1" s="360"/>
    <row r="743" ht="15.75" customHeight="1" s="360"/>
    <row r="744" ht="15.75" customHeight="1" s="360"/>
    <row r="745" ht="15.75" customHeight="1" s="360"/>
    <row r="746" ht="15.75" customHeight="1" s="360"/>
    <row r="747" ht="15.75" customHeight="1" s="360"/>
    <row r="748" ht="15.75" customHeight="1" s="360"/>
    <row r="749" ht="15.75" customHeight="1" s="360"/>
    <row r="750" ht="15.75" customHeight="1" s="360"/>
    <row r="751" ht="15.75" customHeight="1" s="360"/>
    <row r="752" ht="15.75" customHeight="1" s="360"/>
    <row r="753" ht="15.75" customHeight="1" s="360"/>
    <row r="754" ht="15.75" customHeight="1" s="360"/>
    <row r="755" ht="15.75" customHeight="1" s="360"/>
    <row r="756" ht="15.75" customHeight="1" s="360"/>
    <row r="757" ht="15.75" customHeight="1" s="360"/>
    <row r="758" ht="15.75" customHeight="1" s="360"/>
    <row r="759" ht="15.75" customHeight="1" s="360"/>
    <row r="760" ht="15.75" customHeight="1" s="360"/>
    <row r="761" ht="15.75" customHeight="1" s="360"/>
    <row r="762" ht="15.75" customHeight="1" s="360"/>
    <row r="763" ht="15.75" customHeight="1" s="360"/>
    <row r="764" ht="15.75" customHeight="1" s="360"/>
    <row r="765" ht="15.75" customHeight="1" s="360"/>
    <row r="766" ht="15.75" customHeight="1" s="360"/>
    <row r="767" ht="15.75" customHeight="1" s="360"/>
    <row r="768" ht="15.75" customHeight="1" s="360"/>
    <row r="769" ht="15.75" customHeight="1" s="360"/>
    <row r="770" ht="15.75" customHeight="1" s="360"/>
    <row r="771" ht="15.75" customHeight="1" s="360"/>
    <row r="772" ht="15.75" customHeight="1" s="360"/>
    <row r="773" ht="15.75" customHeight="1" s="360"/>
    <row r="774" ht="15.75" customHeight="1" s="360"/>
    <row r="775" ht="15.75" customHeight="1" s="360"/>
    <row r="776" ht="15.75" customHeight="1" s="360"/>
    <row r="777" ht="15.75" customHeight="1" s="360"/>
    <row r="778" ht="15.75" customHeight="1" s="360"/>
    <row r="779" ht="15.75" customHeight="1" s="360"/>
    <row r="780" ht="15.75" customHeight="1" s="360"/>
    <row r="781" ht="15.75" customHeight="1" s="360"/>
    <row r="782" ht="15.75" customHeight="1" s="360"/>
    <row r="783" ht="15.75" customHeight="1" s="360"/>
    <row r="784" ht="15.75" customHeight="1" s="360"/>
    <row r="785" ht="15.75" customHeight="1" s="360"/>
    <row r="786" ht="15.75" customHeight="1" s="360"/>
    <row r="787" ht="15.75" customHeight="1" s="360"/>
    <row r="788" ht="15.75" customHeight="1" s="360"/>
    <row r="789" ht="15.75" customHeight="1" s="360"/>
    <row r="790" ht="15.75" customHeight="1" s="360"/>
    <row r="791" ht="15.75" customHeight="1" s="360"/>
    <row r="792" ht="15.75" customHeight="1" s="360"/>
    <row r="793" ht="15.75" customHeight="1" s="360"/>
    <row r="794" ht="15.75" customHeight="1" s="360"/>
    <row r="795" ht="15.75" customHeight="1" s="360"/>
    <row r="796" ht="15.75" customHeight="1" s="360"/>
    <row r="797" ht="15.75" customHeight="1" s="360"/>
    <row r="798" ht="15.75" customHeight="1" s="360"/>
    <row r="799" ht="15.75" customHeight="1" s="360"/>
    <row r="800" ht="15.75" customHeight="1" s="360"/>
    <row r="801" ht="15.75" customHeight="1" s="360"/>
    <row r="802" ht="15.75" customHeight="1" s="360"/>
    <row r="803" ht="15.75" customHeight="1" s="360"/>
    <row r="804" ht="15.75" customHeight="1" s="360"/>
    <row r="805" ht="15.75" customHeight="1" s="360"/>
    <row r="806" ht="15.75" customHeight="1" s="360"/>
    <row r="807" ht="15.75" customHeight="1" s="360"/>
    <row r="808" ht="15.75" customHeight="1" s="360"/>
    <row r="809" ht="15.75" customHeight="1" s="360"/>
    <row r="810" ht="15.75" customHeight="1" s="360"/>
    <row r="811" ht="15.75" customHeight="1" s="360"/>
    <row r="812" ht="15.75" customHeight="1" s="360"/>
    <row r="813" ht="15.75" customHeight="1" s="360"/>
    <row r="814" ht="15.75" customHeight="1" s="360"/>
    <row r="815" ht="15.75" customHeight="1" s="360"/>
    <row r="816" ht="15.75" customHeight="1" s="360"/>
    <row r="817" ht="15.75" customHeight="1" s="360"/>
    <row r="818" ht="15.75" customHeight="1" s="360"/>
    <row r="819" ht="15.75" customHeight="1" s="360"/>
    <row r="820" ht="15.75" customHeight="1" s="360"/>
    <row r="821" ht="15.75" customHeight="1" s="360"/>
    <row r="822" ht="15.75" customHeight="1" s="360"/>
    <row r="823" ht="15.75" customHeight="1" s="360"/>
    <row r="824" ht="15.75" customHeight="1" s="360"/>
    <row r="825" ht="15.75" customHeight="1" s="360"/>
    <row r="826" ht="15.75" customHeight="1" s="360"/>
    <row r="827" ht="15.75" customHeight="1" s="360"/>
    <row r="828" ht="15.75" customHeight="1" s="360"/>
    <row r="829" ht="15.75" customHeight="1" s="360"/>
    <row r="830" ht="15.75" customHeight="1" s="360"/>
    <row r="831" ht="15.75" customHeight="1" s="360"/>
    <row r="832" ht="15.75" customHeight="1" s="360"/>
    <row r="833" ht="15.75" customHeight="1" s="360"/>
    <row r="834" ht="15.75" customHeight="1" s="360"/>
    <row r="835" ht="15.75" customHeight="1" s="360"/>
    <row r="836" ht="15.75" customHeight="1" s="360"/>
    <row r="837" ht="15.75" customHeight="1" s="360"/>
    <row r="838" ht="15.75" customHeight="1" s="360"/>
    <row r="839" ht="15.75" customHeight="1" s="360"/>
    <row r="840" ht="15.75" customHeight="1" s="360"/>
    <row r="841" ht="15.75" customHeight="1" s="360"/>
    <row r="842" ht="15.75" customHeight="1" s="360"/>
    <row r="843" ht="15.75" customHeight="1" s="360"/>
    <row r="844" ht="15.75" customHeight="1" s="360"/>
    <row r="845" ht="15.75" customHeight="1" s="360"/>
    <row r="846" ht="15.75" customHeight="1" s="360"/>
    <row r="847" ht="15.75" customHeight="1" s="360"/>
    <row r="848" ht="15.75" customHeight="1" s="360"/>
    <row r="849" ht="15.75" customHeight="1" s="360"/>
    <row r="850" ht="15.75" customHeight="1" s="360"/>
    <row r="851" ht="15.75" customHeight="1" s="360"/>
    <row r="852" ht="15.75" customHeight="1" s="360"/>
    <row r="853" ht="15.75" customHeight="1" s="360"/>
    <row r="854" ht="15.75" customHeight="1" s="360"/>
    <row r="855" ht="15.75" customHeight="1" s="360"/>
    <row r="856" ht="15.75" customHeight="1" s="360"/>
    <row r="857" ht="15.75" customHeight="1" s="360"/>
    <row r="858" ht="15.75" customHeight="1" s="360"/>
    <row r="859" ht="15.75" customHeight="1" s="360"/>
    <row r="860" ht="15.75" customHeight="1" s="360"/>
    <row r="861" ht="15.75" customHeight="1" s="360"/>
    <row r="862" ht="15.75" customHeight="1" s="360"/>
    <row r="863" ht="15.75" customHeight="1" s="360"/>
    <row r="864" ht="15.75" customHeight="1" s="360"/>
    <row r="865" ht="15.75" customHeight="1" s="360"/>
    <row r="866" ht="15.75" customHeight="1" s="360"/>
    <row r="867" ht="15.75" customHeight="1" s="360"/>
    <row r="868" ht="15.75" customHeight="1" s="360"/>
    <row r="869" ht="15.75" customHeight="1" s="360"/>
    <row r="870" ht="15.75" customHeight="1" s="360"/>
    <row r="871" ht="15.75" customHeight="1" s="360"/>
    <row r="872" ht="15.75" customHeight="1" s="360"/>
    <row r="873" ht="15.75" customHeight="1" s="360"/>
    <row r="874" ht="15.75" customHeight="1" s="360"/>
    <row r="875" ht="15.75" customHeight="1" s="360"/>
    <row r="876" ht="15.75" customHeight="1" s="360"/>
    <row r="877" ht="15.75" customHeight="1" s="360"/>
    <row r="878" ht="15.75" customHeight="1" s="360"/>
    <row r="879" ht="15.75" customHeight="1" s="360"/>
    <row r="880" ht="15.75" customHeight="1" s="360"/>
    <row r="881" ht="15.75" customHeight="1" s="360"/>
    <row r="882" ht="15.75" customHeight="1" s="360"/>
    <row r="883" ht="15.75" customHeight="1" s="360"/>
    <row r="884" ht="15.75" customHeight="1" s="360"/>
    <row r="885" ht="15.75" customHeight="1" s="360"/>
    <row r="886" ht="15.75" customHeight="1" s="360"/>
    <row r="887" ht="15.75" customHeight="1" s="360"/>
    <row r="888" ht="15.75" customHeight="1" s="360"/>
    <row r="889" ht="15.75" customHeight="1" s="360"/>
    <row r="890" ht="15.75" customHeight="1" s="360"/>
    <row r="891" ht="15.75" customHeight="1" s="360"/>
    <row r="892" ht="15.75" customHeight="1" s="360"/>
    <row r="893" ht="15.75" customHeight="1" s="360"/>
    <row r="894" ht="15.75" customHeight="1" s="360"/>
    <row r="895" ht="15.75" customHeight="1" s="360"/>
    <row r="896" ht="15.75" customHeight="1" s="360"/>
    <row r="897" ht="15.75" customHeight="1" s="360"/>
    <row r="898" ht="15.75" customHeight="1" s="360"/>
    <row r="899" ht="15.75" customHeight="1" s="360"/>
    <row r="900" ht="15.75" customHeight="1" s="360"/>
    <row r="901" ht="15.75" customHeight="1" s="360"/>
    <row r="902" ht="15.75" customHeight="1" s="360"/>
    <row r="903" ht="15.75" customHeight="1" s="360"/>
    <row r="904" ht="15.75" customHeight="1" s="360"/>
    <row r="905" ht="15.75" customHeight="1" s="360"/>
    <row r="906" ht="15.75" customHeight="1" s="360"/>
    <row r="907" ht="15.75" customHeight="1" s="360"/>
    <row r="908" ht="15.75" customHeight="1" s="360"/>
    <row r="909" ht="15.75" customHeight="1" s="360"/>
    <row r="910" ht="15.75" customHeight="1" s="360"/>
    <row r="911" ht="15.75" customHeight="1" s="360"/>
    <row r="912" ht="15.75" customHeight="1" s="360"/>
    <row r="913" ht="15.75" customHeight="1" s="360"/>
    <row r="914" ht="15.75" customHeight="1" s="360"/>
    <row r="915" ht="15.75" customHeight="1" s="360"/>
    <row r="916" ht="15.75" customHeight="1" s="360"/>
    <row r="917" ht="15.75" customHeight="1" s="360"/>
    <row r="918" ht="15.75" customHeight="1" s="360"/>
    <row r="919" ht="15.75" customHeight="1" s="360"/>
    <row r="920" ht="15.75" customHeight="1" s="360"/>
    <row r="921" ht="15.75" customHeight="1" s="360"/>
    <row r="922" ht="15.75" customHeight="1" s="360"/>
    <row r="923" ht="15.75" customHeight="1" s="360"/>
    <row r="924" ht="15.75" customHeight="1" s="360"/>
    <row r="925" ht="15.75" customHeight="1" s="360"/>
    <row r="926" ht="15.75" customHeight="1" s="360"/>
    <row r="927" ht="15.75" customHeight="1" s="360"/>
    <row r="928" ht="15.75" customHeight="1" s="360"/>
    <row r="929" ht="15.75" customHeight="1" s="360"/>
    <row r="930" ht="15.75" customHeight="1" s="360"/>
    <row r="931" ht="15.75" customHeight="1" s="360"/>
    <row r="932" ht="15.75" customHeight="1" s="360"/>
    <row r="933" ht="15.75" customHeight="1" s="360"/>
    <row r="934" ht="15.75" customHeight="1" s="360"/>
    <row r="935" ht="15.75" customHeight="1" s="360"/>
    <row r="936" ht="15.75" customHeight="1" s="360"/>
    <row r="937" ht="15.75" customHeight="1" s="360"/>
    <row r="938" ht="15.75" customHeight="1" s="360"/>
    <row r="939" ht="15.75" customHeight="1" s="360"/>
    <row r="940" ht="15.75" customHeight="1" s="360"/>
    <row r="941" ht="15.75" customHeight="1" s="360"/>
    <row r="942" ht="15.75" customHeight="1" s="360"/>
    <row r="943" ht="15.75" customHeight="1" s="360"/>
    <row r="944" ht="15.75" customHeight="1" s="360"/>
    <row r="945" ht="15.75" customHeight="1" s="360"/>
    <row r="946" ht="15.75" customHeight="1" s="360"/>
    <row r="947" ht="15.75" customHeight="1" s="360"/>
    <row r="948" ht="15.75" customHeight="1" s="360"/>
    <row r="949" ht="15.75" customHeight="1" s="360"/>
    <row r="950" ht="15.75" customHeight="1" s="360"/>
    <row r="951" ht="15.75" customHeight="1" s="360"/>
    <row r="952" ht="15.75" customHeight="1" s="360"/>
    <row r="953" ht="15.75" customHeight="1" s="360"/>
    <row r="954" ht="15.75" customHeight="1" s="360"/>
    <row r="955" ht="15.75" customHeight="1" s="360"/>
    <row r="956" ht="15.75" customHeight="1" s="360"/>
    <row r="957" ht="15.75" customHeight="1" s="360"/>
    <row r="958" ht="15.75" customHeight="1" s="360"/>
    <row r="959" ht="15.75" customHeight="1" s="360"/>
    <row r="960" ht="15.75" customHeight="1" s="360"/>
    <row r="961" ht="15.75" customHeight="1" s="360"/>
    <row r="962" ht="15.75" customHeight="1" s="360"/>
    <row r="963" ht="15.75" customHeight="1" s="360"/>
    <row r="964" ht="15.75" customHeight="1" s="360"/>
    <row r="965" ht="15.75" customHeight="1" s="360"/>
    <row r="966" ht="15.75" customHeight="1" s="360"/>
    <row r="967" ht="15.75" customHeight="1" s="360"/>
    <row r="968" ht="15.75" customHeight="1" s="360"/>
    <row r="969" ht="15.75" customHeight="1" s="360"/>
    <row r="970" ht="15.75" customHeight="1" s="360"/>
    <row r="971" ht="15.75" customHeight="1" s="360"/>
    <row r="972" ht="15.75" customHeight="1" s="360"/>
    <row r="973" ht="15.75" customHeight="1" s="360"/>
    <row r="974" ht="15.75" customHeight="1" s="360"/>
    <row r="975" ht="15.75" customHeight="1" s="360"/>
    <row r="976" ht="15.75" customHeight="1" s="360"/>
    <row r="977" ht="15.75" customHeight="1" s="360"/>
    <row r="978" ht="15.75" customHeight="1" s="360"/>
    <row r="979" ht="15.75" customHeight="1" s="360"/>
    <row r="980" ht="15.75" customHeight="1" s="360"/>
    <row r="981" ht="15.75" customHeight="1" s="360"/>
    <row r="982" ht="15.75" customHeight="1" s="360"/>
    <row r="983" ht="15.75" customHeight="1" s="360"/>
    <row r="984" ht="15.75" customHeight="1" s="360"/>
    <row r="985" ht="15.75" customHeight="1" s="360"/>
    <row r="986" ht="15.75" customHeight="1" s="360"/>
    <row r="987" ht="15.75" customHeight="1" s="360"/>
    <row r="988" ht="15.75" customHeight="1" s="360"/>
    <row r="989" ht="15.75" customHeight="1" s="360"/>
    <row r="990" ht="15.75" customHeight="1" s="360"/>
    <row r="991" ht="15.75" customHeight="1" s="360"/>
    <row r="992" ht="15.75" customHeight="1" s="360"/>
    <row r="993" ht="15.75" customHeight="1" s="360"/>
    <row r="994" ht="15.75" customHeight="1" s="360"/>
    <row r="995" ht="15.75" customHeight="1" s="360"/>
    <row r="996" ht="15.75" customHeight="1" s="360"/>
    <row r="997" ht="15.75" customHeight="1" s="360"/>
    <row r="998" ht="15.75" customHeight="1" s="360"/>
    <row r="999" ht="15.75" customHeight="1" s="360"/>
    <row r="1000" ht="15.75" customHeight="1" s="360"/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1.38" customWidth="1" style="360" min="1" max="5"/>
    <col width="12.63" customWidth="1" style="360" min="6" max="6"/>
  </cols>
  <sheetData>
    <row r="1" ht="22.5" customHeight="1" s="360">
      <c r="A1" s="351" t="inlineStr">
        <is>
          <t>Rol</t>
        </is>
      </c>
      <c r="B1" s="351" t="inlineStr">
        <is>
          <t>Enfoque principal</t>
        </is>
      </c>
      <c r="C1" s="351" t="inlineStr">
        <is>
          <t>Responsabilidades clave</t>
        </is>
      </c>
      <c r="D1" s="352" t="inlineStr">
        <is>
          <t>Asignee</t>
        </is>
      </c>
      <c r="E1" s="352" t="inlineStr">
        <is>
          <t>Notes</t>
        </is>
      </c>
    </row>
    <row r="2" ht="22.5" customHeight="1" s="360">
      <c r="A2" s="353" t="inlineStr">
        <is>
          <t>Project Manager</t>
        </is>
      </c>
      <c r="B2" s="353" t="inlineStr">
        <is>
          <t>Proyecto (Stage 1–2)</t>
        </is>
      </c>
      <c r="C2" s="353" t="inlineStr">
        <is>
          <t>Liderar planificación y ejecución del proyecto, cronograma y presupuesto; coordinar asesores (legal, ambiental, técnico, financiero); gestionar riesgos y reportar a socios.</t>
        </is>
      </c>
      <c r="D2" s="353" t="inlineStr">
        <is>
          <t>Raul</t>
        </is>
      </c>
      <c r="E2" s="354" t="n"/>
    </row>
    <row r="3" ht="22.5" customHeight="1" s="360">
      <c r="A3" s="355" t="inlineStr">
        <is>
          <t>Jefe de Planta / Site Manager</t>
        </is>
      </c>
      <c r="B3" s="355" t="inlineStr">
        <is>
          <t>Operación</t>
        </is>
      </c>
      <c r="C3" s="355" t="inlineStr">
        <is>
          <t>Gestionar operación diaria (recepción, almacenamiento, clasificación); cumplir KPIs de volumen, calidad y seguridad; liderar al equipo de planta y coordinar mantenimiento.</t>
        </is>
      </c>
      <c r="D3" s="355" t="inlineStr">
        <is>
          <t xml:space="preserve">Ingeniero industrial 
</t>
        </is>
      </c>
      <c r="E3" s="356" t="inlineStr">
        <is>
          <t>Uno egresado de la Senati o Una universidad de por ahi.
De preferencia con experiencia en procesos industriales.
O si no, el recien egresado necesitará de asesoria (Probablemente de Raul)</t>
        </is>
      </c>
    </row>
    <row r="4" ht="22.5" customHeight="1" s="360">
      <c r="A4" s="353" t="inlineStr">
        <is>
          <t>Warehouse Manager</t>
        </is>
      </c>
      <c r="B4" s="353" t="inlineStr">
        <is>
          <t>Operación</t>
        </is>
      </c>
      <c r="C4" s="353" t="inlineStr">
        <is>
          <t>Planificar y coordinar recepción, almacenamiento e inventarios; organizar layout de almacén; supervisar operarios de bodega y asegurar trazabilidad de lotes.</t>
        </is>
      </c>
      <c r="D4" s="353" t="inlineStr">
        <is>
          <t xml:space="preserve">Jefe de almacen </t>
        </is>
      </c>
      <c r="E4" s="357" t="inlineStr">
        <is>
          <t>Una persona que pueda operar un montacarda de hasta 3 toneladas</t>
        </is>
      </c>
    </row>
    <row r="5" ht="22.5" customHeight="1" s="360">
      <c r="A5" s="355" t="inlineStr">
        <is>
          <t xml:space="preserve">Agente Comercial </t>
        </is>
      </c>
      <c r="B5" s="355" t="inlineStr">
        <is>
          <t>Comercial</t>
        </is>
      </c>
      <c r="C5" s="355" t="inlineStr">
        <is>
          <t>Asegurar suministro mínimo (p.ej. 500+ ton/mes); cerrar contratos con clientes finales; definir precios y condiciones comerciales; actuar como “cliente ancla” y socio estratégico.</t>
        </is>
      </c>
      <c r="D5" s="355" t="inlineStr">
        <is>
          <t>Alex</t>
        </is>
      </c>
      <c r="E5" s="358" t="n"/>
    </row>
    <row r="6" ht="22.5" customHeight="1" s="360">
      <c r="A6" s="353" t="inlineStr">
        <is>
          <t>Responsable de Calidad (QA)</t>
        </is>
      </c>
      <c r="B6" s="353" t="inlineStr">
        <is>
          <t>Operación</t>
        </is>
      </c>
      <c r="C6" s="353" t="inlineStr">
        <is>
          <t>Definir y aplicar criterios de calidad; tomar muestras y registrar resultados; gestionar rechazos y reprocesos; apoyar implementación de sistemas de trazabilidad.</t>
        </is>
      </c>
      <c r="D6" s="353" t="inlineStr">
        <is>
          <t xml:space="preserve">Ingeniero industrial 
</t>
        </is>
      </c>
      <c r="E6" s="357" t="inlineStr">
        <is>
          <t>El mismo que Jefe de planta en la primera stage.
Dependiendo de la escala en la segunda stage se necesitará de una persona totalmente dedicada a este rol</t>
        </is>
      </c>
    </row>
    <row r="7" ht="22.5" customHeight="1" s="360">
      <c r="A7" s="355" t="inlineStr">
        <is>
          <t>Responsable HSE (Seguridad y Medio Ambiente)</t>
        </is>
      </c>
      <c r="B7" s="355" t="inlineStr">
        <is>
          <t>Operación</t>
        </is>
      </c>
      <c r="C7" s="355" t="inlineStr">
        <is>
          <t>Implementar normas de seguridad, EPP y procedimientos; capacitar al personal; supervisar cumplimiento ambiental en operación; gestionar incidentes y acciones correctivas.</t>
        </is>
      </c>
      <c r="D7" s="355" t="inlineStr">
        <is>
          <t xml:space="preserve">Ingeniero industrial 
</t>
        </is>
      </c>
      <c r="E7" s="356" t="inlineStr">
        <is>
          <t>El ingeniero industrial deberia tener un conocimiento en normas regulatorias de seguridad.
Super importante incluir este rol en la descripcion del trabajo(JD) para el Jefe de planta</t>
        </is>
      </c>
    </row>
    <row r="8" ht="22.5" customHeight="1" s="360">
      <c r="A8" s="353" t="inlineStr">
        <is>
          <t>Técnico de Mantenimiento</t>
        </is>
      </c>
      <c r="B8" s="353" t="inlineStr">
        <is>
          <t>Operación</t>
        </is>
      </c>
      <c r="C8" s="353" t="inlineStr">
        <is>
          <t>Ejecutar mantenimiento preventivo y correctivo de equipos (básculas, cintas, clasificación y, luego, trituración/lavado); gestionar repuestos; registrar historial de fallas.</t>
        </is>
      </c>
      <c r="D8" s="353" t="inlineStr">
        <is>
          <t>Un tecnico del Senati</t>
        </is>
      </c>
      <c r="E8" s="357" t="inlineStr">
        <is>
          <t xml:space="preserve"> no es necesario full time, se le contrata para hacer un mantenimiento mensual, trimestral o dependiendo a las especi ficaciones de la maquinaria. 
Outsource
Solo necesario en la segunda etapa. </t>
        </is>
      </c>
    </row>
    <row r="9" ht="22.5" customHeight="1" s="360">
      <c r="A9" s="355" t="inlineStr">
        <is>
          <t>Supervisores de Turno</t>
        </is>
      </c>
      <c r="B9" s="355" t="inlineStr">
        <is>
          <t>Operación</t>
        </is>
      </c>
      <c r="C9" s="355" t="inlineStr">
        <is>
          <t>Coordinar al personal por turno; asignar tareas diarias; asegurar cumplimiento de procedimientos y estándares de seguridad; reportar incidencias a Jefe de Planta.</t>
        </is>
      </c>
      <c r="D9" s="355" t="inlineStr">
        <is>
          <t xml:space="preserve">Ingeniero industrial 
</t>
        </is>
      </c>
      <c r="E9" s="356" t="inlineStr">
        <is>
          <t>Entra en el rango de responsabilidades del Jefe de Planta</t>
        </is>
      </c>
    </row>
    <row r="10" ht="22.5" customHeight="1" s="360">
      <c r="A10" s="353" t="inlineStr">
        <is>
          <t>Operarios de Planta y Almacén</t>
        </is>
      </c>
      <c r="B10" s="353" t="inlineStr">
        <is>
          <t>Operación</t>
        </is>
      </c>
      <c r="C10" s="353" t="inlineStr">
        <is>
          <t>Realizar carga/descarga, clasificación, limpieza, orden de almacén; operar equipos básicos; cumplir normas de seguridad y calidad.</t>
        </is>
      </c>
      <c r="D10" s="353" t="inlineStr">
        <is>
          <t>Operador de montacarga</t>
        </is>
      </c>
      <c r="E10" s="357" t="inlineStr">
        <is>
          <t>Un operador con almenos 2 años de experiencia en operacion con montacarga</t>
        </is>
      </c>
    </row>
    <row r="11" ht="22.5" customHeight="1" s="360">
      <c r="A11" s="355" t="inlineStr">
        <is>
          <t>Jefe de Finanzas / CFO (puede ser part‑time)</t>
        </is>
      </c>
      <c r="B11" s="355" t="inlineStr">
        <is>
          <t>Finanzas</t>
        </is>
      </c>
      <c r="C11" s="355" t="inlineStr">
        <is>
          <t>Desarrollar y actualizar el modelo financiero; controlar CAPEX y OPEX; elaborar reportes mensuales a socios; gestionar flujo de caja y relación con bancos/inversores.</t>
        </is>
      </c>
      <c r="D11" s="355" t="inlineStr">
        <is>
          <t>Tigre en Finanzas.
Outsource a una firma de consultoria</t>
        </is>
      </c>
      <c r="E11" s="358" t="n"/>
    </row>
    <row r="12" ht="22.5" customHeight="1" s="360">
      <c r="A12" s="353" t="inlineStr">
        <is>
          <t>Administración / RR.HH.</t>
        </is>
      </c>
      <c r="B12" s="353" t="inlineStr">
        <is>
          <t>Soporte</t>
        </is>
      </c>
      <c r="C12" s="353" t="inlineStr">
        <is>
          <t>Gestionar contrataciones, nómina y turnos; administrar documentación laboral; coordinar capacitaciones; apoyar en compras generales y servicios.</t>
        </is>
      </c>
      <c r="D12" s="353" t="inlineStr">
        <is>
          <t>No needed</t>
        </is>
      </c>
      <c r="E12" s="353" t="inlineStr">
        <is>
          <t>Este no es necesario al principio, normalmente se contrata a alguien asi cuando la empresa crece a mas de 20 personas</t>
        </is>
      </c>
    </row>
    <row r="13" ht="22.5" customHeight="1" s="360">
      <c r="A13" s="355" t="inlineStr">
        <is>
          <t>Asesor Legal / Regulatorio</t>
        </is>
      </c>
      <c r="B13" s="355" t="inlineStr">
        <is>
          <t>Proyecto</t>
        </is>
      </c>
      <c r="C13" s="355" t="inlineStr">
        <is>
          <t>Tramitar y hacer seguimiento de permisos (EIA, municipal, INDECI, ITSE); estructurar contratos y MOU entre socios; asesorar en temas societarios y de compliance.</t>
        </is>
      </c>
      <c r="D13" s="355" t="inlineStr">
        <is>
          <t>Abogado</t>
        </is>
      </c>
      <c r="E13" s="355" t="inlineStr">
        <is>
          <t>Un abodago para revisar los contratos</t>
        </is>
      </c>
    </row>
    <row r="14" ht="22.5" customHeight="1" s="360">
      <c r="A14" s="353" t="inlineStr">
        <is>
          <t>Asesor Ambiental (EIA)</t>
        </is>
      </c>
      <c r="B14" s="353" t="inlineStr">
        <is>
          <t>Proyecto</t>
        </is>
      </c>
      <c r="C14" s="353" t="inlineStr">
        <is>
          <t>Preparar y sustentar el EIA; definir requisitos ambientales de diseño (PTAR, manejo de residuos); acompañar monitoreo ambiental en operación inicial.</t>
        </is>
      </c>
      <c r="D14" s="353" t="inlineStr">
        <is>
          <t>Outsource o asesor ambiental.</t>
        </is>
      </c>
      <c r="E14" s="357" t="inlineStr">
        <is>
          <t>Lo que se necesita de esta persona es la elaboracion de reportes ambientales necesarios para las certificaciones y licencias</t>
        </is>
      </c>
    </row>
    <row r="15" ht="22.5" customHeight="1" s="360">
      <c r="A15" s="355" t="inlineStr">
        <is>
          <t>Asesor Técnico / Ingeniería</t>
        </is>
      </c>
      <c r="B15" s="355" t="inlineStr">
        <is>
          <t>Proyecto</t>
        </is>
      </c>
      <c r="C15" s="355" t="inlineStr">
        <is>
          <t>Diseñar layout y especificaciones de equipos; apoyar selección de proveedores y contratos de obra/equipos; revisar propuestas técnicas y optimizaciones de proceso.</t>
        </is>
      </c>
      <c r="D15" s="355" t="inlineStr">
        <is>
          <t>Raul</t>
        </is>
      </c>
      <c r="E15" s="359" t="inlineStr">
        <is>
          <t>Cuando la planta inicie operaciones, yo me puedo hacer cargo de esto</t>
        </is>
      </c>
    </row>
    <row r="16">
      <c r="A16" s="77" t="n"/>
      <c r="B16" s="77" t="n"/>
      <c r="C16" s="77" t="n"/>
      <c r="D16" s="77" t="n"/>
      <c r="E16" s="77" t="n"/>
    </row>
    <row r="17">
      <c r="A17" s="77" t="n"/>
      <c r="B17" s="77" t="n"/>
      <c r="C17" s="77" t="n"/>
      <c r="D17" s="77" t="n"/>
      <c r="E17" s="77" t="n"/>
    </row>
    <row r="18">
      <c r="A18" s="77" t="n"/>
      <c r="B18" s="77" t="n"/>
      <c r="C18" s="77" t="n"/>
      <c r="D18" s="77" t="n"/>
      <c r="E18" s="77" t="n"/>
    </row>
    <row r="19">
      <c r="A19" s="77" t="n"/>
      <c r="B19" s="77" t="n"/>
      <c r="C19" s="77" t="n"/>
      <c r="D19" s="77" t="n"/>
      <c r="E19" s="77" t="n"/>
    </row>
    <row r="20">
      <c r="A20" s="77" t="n"/>
      <c r="B20" s="77" t="n"/>
      <c r="C20" s="77" t="n"/>
      <c r="D20" s="77" t="n"/>
      <c r="E20" s="77" t="n"/>
    </row>
    <row r="21" ht="15.75" customHeight="1" s="360">
      <c r="A21" s="77" t="n"/>
      <c r="B21" s="77" t="n"/>
      <c r="C21" s="77" t="n"/>
      <c r="D21" s="77" t="n"/>
      <c r="E21" s="77" t="n"/>
    </row>
    <row r="22" ht="15.75" customHeight="1" s="360">
      <c r="A22" s="77" t="n"/>
      <c r="B22" s="77" t="n"/>
      <c r="C22" s="77" t="n"/>
      <c r="D22" s="77" t="n"/>
      <c r="E22" s="77" t="n"/>
    </row>
    <row r="23" ht="15.75" customHeight="1" s="360">
      <c r="A23" s="77" t="n"/>
      <c r="B23" s="77" t="n"/>
      <c r="C23" s="77" t="n"/>
      <c r="D23" s="77" t="n"/>
      <c r="E23" s="77" t="n"/>
    </row>
    <row r="24" ht="15.75" customHeight="1" s="360">
      <c r="A24" s="77" t="n"/>
      <c r="B24" s="77" t="n"/>
      <c r="C24" s="77" t="n"/>
      <c r="D24" s="77" t="n"/>
      <c r="E24" s="77" t="n"/>
    </row>
    <row r="25" ht="15.75" customHeight="1" s="360">
      <c r="A25" s="77" t="n"/>
      <c r="B25" s="77" t="n"/>
      <c r="C25" s="77" t="n"/>
      <c r="D25" s="77" t="n"/>
      <c r="E25" s="77" t="n"/>
    </row>
    <row r="26" ht="15.75" customHeight="1" s="360">
      <c r="A26" s="77" t="n"/>
      <c r="B26" s="77" t="n"/>
      <c r="C26" s="77" t="n"/>
      <c r="D26" s="77" t="n"/>
      <c r="E26" s="77" t="n"/>
    </row>
    <row r="27" ht="15.75" customHeight="1" s="360">
      <c r="A27" s="77" t="n"/>
      <c r="B27" s="77" t="n"/>
      <c r="C27" s="77" t="n"/>
      <c r="D27" s="77" t="n"/>
      <c r="E27" s="77" t="n"/>
    </row>
    <row r="28" ht="15.75" customHeight="1" s="360">
      <c r="A28" s="77" t="n"/>
      <c r="B28" s="77" t="n"/>
      <c r="C28" s="77" t="n"/>
      <c r="D28" s="77" t="n"/>
      <c r="E28" s="77" t="n"/>
    </row>
    <row r="29" ht="15.75" customHeight="1" s="360">
      <c r="A29" s="77" t="n"/>
      <c r="B29" s="77" t="n"/>
      <c r="C29" s="77" t="n"/>
      <c r="D29" s="77" t="n"/>
      <c r="E29" s="77" t="n"/>
    </row>
    <row r="30" ht="15.75" customHeight="1" s="360">
      <c r="A30" s="77" t="n"/>
      <c r="B30" s="77" t="n"/>
      <c r="C30" s="77" t="n"/>
      <c r="D30" s="77" t="n"/>
      <c r="E30" s="77" t="n"/>
    </row>
    <row r="31" ht="15.75" customHeight="1" s="360">
      <c r="A31" s="77" t="n"/>
      <c r="B31" s="77" t="n"/>
      <c r="C31" s="77" t="n"/>
      <c r="D31" s="77" t="n"/>
      <c r="E31" s="77" t="n"/>
    </row>
    <row r="32" ht="15.75" customHeight="1" s="360">
      <c r="A32" s="77" t="n"/>
      <c r="B32" s="77" t="n"/>
      <c r="C32" s="77" t="n"/>
      <c r="D32" s="77" t="n"/>
      <c r="E32" s="77" t="n"/>
    </row>
    <row r="33" ht="15.75" customHeight="1" s="360">
      <c r="A33" s="77" t="n"/>
      <c r="B33" s="77" t="n"/>
      <c r="C33" s="77" t="n"/>
      <c r="D33" s="77" t="n"/>
      <c r="E33" s="77" t="n"/>
    </row>
    <row r="34" ht="15.75" customHeight="1" s="360">
      <c r="A34" s="77" t="n"/>
      <c r="B34" s="77" t="n"/>
      <c r="C34" s="77" t="n"/>
      <c r="D34" s="77" t="n"/>
      <c r="E34" s="77" t="n"/>
    </row>
    <row r="35" ht="15.75" customHeight="1" s="360">
      <c r="A35" s="77" t="n"/>
      <c r="B35" s="77" t="n"/>
      <c r="C35" s="77" t="n"/>
      <c r="D35" s="77" t="n"/>
      <c r="E35" s="77" t="n"/>
    </row>
    <row r="36" ht="15.75" customHeight="1" s="360">
      <c r="A36" s="77" t="n"/>
      <c r="B36" s="77" t="n"/>
      <c r="C36" s="77" t="n"/>
      <c r="D36" s="77" t="n"/>
      <c r="E36" s="77" t="n"/>
    </row>
    <row r="37" ht="15.75" customHeight="1" s="360">
      <c r="A37" s="77" t="n"/>
      <c r="B37" s="77" t="n"/>
      <c r="C37" s="77" t="n"/>
      <c r="D37" s="77" t="n"/>
      <c r="E37" s="77" t="n"/>
    </row>
    <row r="38" ht="15.75" customHeight="1" s="360">
      <c r="A38" s="77" t="n"/>
      <c r="B38" s="77" t="n"/>
      <c r="C38" s="77" t="n"/>
      <c r="D38" s="77" t="n"/>
      <c r="E38" s="77" t="n"/>
    </row>
    <row r="39" ht="15.75" customHeight="1" s="360">
      <c r="A39" s="77" t="n"/>
      <c r="B39" s="77" t="n"/>
      <c r="C39" s="77" t="n"/>
      <c r="D39" s="77" t="n"/>
      <c r="E39" s="77" t="n"/>
    </row>
    <row r="40" ht="15.75" customHeight="1" s="360">
      <c r="A40" s="77" t="n"/>
      <c r="B40" s="77" t="n"/>
      <c r="C40" s="77" t="n"/>
      <c r="D40" s="77" t="n"/>
      <c r="E40" s="77" t="n"/>
    </row>
    <row r="41" ht="15.75" customHeight="1" s="360">
      <c r="A41" s="77" t="n"/>
      <c r="B41" s="77" t="n"/>
      <c r="C41" s="77" t="n"/>
      <c r="D41" s="77" t="n"/>
      <c r="E41" s="77" t="n"/>
    </row>
    <row r="42" ht="15.75" customHeight="1" s="360">
      <c r="A42" s="77" t="n"/>
      <c r="B42" s="77" t="n"/>
      <c r="C42" s="77" t="n"/>
      <c r="D42" s="77" t="n"/>
      <c r="E42" s="77" t="n"/>
    </row>
    <row r="43" ht="15.75" customHeight="1" s="360">
      <c r="A43" s="77" t="n"/>
      <c r="B43" s="77" t="n"/>
      <c r="C43" s="77" t="n"/>
      <c r="D43" s="77" t="n"/>
      <c r="E43" s="77" t="n"/>
    </row>
    <row r="44" ht="15.75" customHeight="1" s="360">
      <c r="A44" s="77" t="n"/>
      <c r="B44" s="77" t="n"/>
      <c r="C44" s="77" t="n"/>
      <c r="D44" s="77" t="n"/>
      <c r="E44" s="77" t="n"/>
    </row>
    <row r="45" ht="15.75" customHeight="1" s="360">
      <c r="A45" s="77" t="n"/>
      <c r="B45" s="77" t="n"/>
      <c r="C45" s="77" t="n"/>
      <c r="D45" s="77" t="n"/>
      <c r="E45" s="77" t="n"/>
    </row>
    <row r="46" ht="15.75" customHeight="1" s="360">
      <c r="A46" s="77" t="n"/>
      <c r="B46" s="77" t="n"/>
      <c r="C46" s="77" t="n"/>
      <c r="D46" s="77" t="n"/>
      <c r="E46" s="77" t="n"/>
    </row>
    <row r="47" ht="15.75" customHeight="1" s="360">
      <c r="A47" s="77" t="n"/>
      <c r="B47" s="77" t="n"/>
      <c r="C47" s="77" t="n"/>
      <c r="D47" s="77" t="n"/>
      <c r="E47" s="77" t="n"/>
    </row>
    <row r="48" ht="15.75" customHeight="1" s="360">
      <c r="A48" s="77" t="n"/>
      <c r="B48" s="77" t="n"/>
      <c r="C48" s="77" t="n"/>
      <c r="D48" s="77" t="n"/>
      <c r="E48" s="77" t="n"/>
    </row>
    <row r="49" ht="15.75" customHeight="1" s="360">
      <c r="A49" s="77" t="n"/>
      <c r="B49" s="77" t="n"/>
      <c r="C49" s="77" t="n"/>
      <c r="D49" s="77" t="n"/>
      <c r="E49" s="77" t="n"/>
    </row>
    <row r="50" ht="15.75" customHeight="1" s="360">
      <c r="A50" s="77" t="n"/>
      <c r="B50" s="77" t="n"/>
      <c r="C50" s="77" t="n"/>
      <c r="D50" s="77" t="n"/>
      <c r="E50" s="77" t="n"/>
    </row>
    <row r="51" ht="15.75" customHeight="1" s="360">
      <c r="A51" s="77" t="n"/>
      <c r="B51" s="77" t="n"/>
      <c r="C51" s="77" t="n"/>
      <c r="D51" s="77" t="n"/>
      <c r="E51" s="77" t="n"/>
    </row>
    <row r="52" ht="15.75" customHeight="1" s="360">
      <c r="A52" s="77" t="n"/>
      <c r="B52" s="77" t="n"/>
      <c r="C52" s="77" t="n"/>
      <c r="D52" s="77" t="n"/>
      <c r="E52" s="77" t="n"/>
    </row>
    <row r="53" ht="15.75" customHeight="1" s="360">
      <c r="A53" s="77" t="n"/>
      <c r="B53" s="77" t="n"/>
      <c r="C53" s="77" t="n"/>
      <c r="D53" s="77" t="n"/>
      <c r="E53" s="77" t="n"/>
    </row>
    <row r="54" ht="15.75" customHeight="1" s="360">
      <c r="A54" s="77" t="n"/>
      <c r="B54" s="77" t="n"/>
      <c r="C54" s="77" t="n"/>
      <c r="D54" s="77" t="n"/>
      <c r="E54" s="77" t="n"/>
    </row>
    <row r="55" ht="15.75" customHeight="1" s="360">
      <c r="A55" s="77" t="n"/>
      <c r="B55" s="77" t="n"/>
      <c r="C55" s="77" t="n"/>
      <c r="D55" s="77" t="n"/>
      <c r="E55" s="77" t="n"/>
    </row>
    <row r="56" ht="15.75" customHeight="1" s="360">
      <c r="A56" s="77" t="n"/>
      <c r="B56" s="77" t="n"/>
      <c r="C56" s="77" t="n"/>
      <c r="D56" s="77" t="n"/>
      <c r="E56" s="77" t="n"/>
    </row>
    <row r="57" ht="15.75" customHeight="1" s="360">
      <c r="A57" s="77" t="n"/>
      <c r="B57" s="77" t="n"/>
      <c r="C57" s="77" t="n"/>
      <c r="D57" s="77" t="n"/>
      <c r="E57" s="77" t="n"/>
    </row>
    <row r="58" ht="15.75" customHeight="1" s="360">
      <c r="A58" s="77" t="n"/>
      <c r="B58" s="77" t="n"/>
      <c r="C58" s="77" t="n"/>
      <c r="D58" s="77" t="n"/>
      <c r="E58" s="77" t="n"/>
    </row>
    <row r="59" ht="15.75" customHeight="1" s="360">
      <c r="A59" s="77" t="n"/>
      <c r="B59" s="77" t="n"/>
      <c r="C59" s="77" t="n"/>
      <c r="D59" s="77" t="n"/>
      <c r="E59" s="77" t="n"/>
    </row>
    <row r="60" ht="15.75" customHeight="1" s="360">
      <c r="A60" s="77" t="n"/>
      <c r="B60" s="77" t="n"/>
      <c r="C60" s="77" t="n"/>
      <c r="D60" s="77" t="n"/>
      <c r="E60" s="77" t="n"/>
    </row>
    <row r="61" ht="15.75" customHeight="1" s="360">
      <c r="A61" s="77" t="n"/>
      <c r="B61" s="77" t="n"/>
      <c r="C61" s="77" t="n"/>
      <c r="D61" s="77" t="n"/>
      <c r="E61" s="77" t="n"/>
    </row>
    <row r="62" ht="15.75" customHeight="1" s="360">
      <c r="A62" s="77" t="n"/>
      <c r="B62" s="77" t="n"/>
      <c r="C62" s="77" t="n"/>
      <c r="D62" s="77" t="n"/>
      <c r="E62" s="77" t="n"/>
    </row>
    <row r="63" ht="15.75" customHeight="1" s="360">
      <c r="A63" s="77" t="n"/>
      <c r="B63" s="77" t="n"/>
      <c r="C63" s="77" t="n"/>
      <c r="D63" s="77" t="n"/>
      <c r="E63" s="77" t="n"/>
    </row>
    <row r="64" ht="15.75" customHeight="1" s="360">
      <c r="A64" s="77" t="n"/>
      <c r="B64" s="77" t="n"/>
      <c r="C64" s="77" t="n"/>
      <c r="D64" s="77" t="n"/>
      <c r="E64" s="77" t="n"/>
    </row>
    <row r="65" ht="15.75" customHeight="1" s="360">
      <c r="A65" s="77" t="n"/>
      <c r="B65" s="77" t="n"/>
      <c r="C65" s="77" t="n"/>
      <c r="D65" s="77" t="n"/>
      <c r="E65" s="77" t="n"/>
    </row>
    <row r="66" ht="15.75" customHeight="1" s="360">
      <c r="A66" s="77" t="n"/>
      <c r="B66" s="77" t="n"/>
      <c r="C66" s="77" t="n"/>
      <c r="D66" s="77" t="n"/>
      <c r="E66" s="77" t="n"/>
    </row>
    <row r="67" ht="15.75" customHeight="1" s="360">
      <c r="A67" s="77" t="n"/>
      <c r="B67" s="77" t="n"/>
      <c r="C67" s="77" t="n"/>
      <c r="D67" s="77" t="n"/>
      <c r="E67" s="77" t="n"/>
    </row>
    <row r="68" ht="15.75" customHeight="1" s="360">
      <c r="A68" s="77" t="n"/>
      <c r="B68" s="77" t="n"/>
      <c r="C68" s="77" t="n"/>
      <c r="D68" s="77" t="n"/>
      <c r="E68" s="77" t="n"/>
    </row>
    <row r="69" ht="15.75" customHeight="1" s="360">
      <c r="A69" s="77" t="n"/>
      <c r="B69" s="77" t="n"/>
      <c r="C69" s="77" t="n"/>
      <c r="D69" s="77" t="n"/>
      <c r="E69" s="77" t="n"/>
    </row>
    <row r="70" ht="15.75" customHeight="1" s="360">
      <c r="A70" s="77" t="n"/>
      <c r="B70" s="77" t="n"/>
      <c r="C70" s="77" t="n"/>
      <c r="D70" s="77" t="n"/>
      <c r="E70" s="77" t="n"/>
    </row>
    <row r="71" ht="15.75" customHeight="1" s="360">
      <c r="A71" s="77" t="n"/>
      <c r="B71" s="77" t="n"/>
      <c r="C71" s="77" t="n"/>
      <c r="D71" s="77" t="n"/>
      <c r="E71" s="77" t="n"/>
    </row>
    <row r="72" ht="15.75" customHeight="1" s="360">
      <c r="A72" s="77" t="n"/>
      <c r="B72" s="77" t="n"/>
      <c r="C72" s="77" t="n"/>
      <c r="D72" s="77" t="n"/>
      <c r="E72" s="77" t="n"/>
    </row>
    <row r="73" ht="15.75" customHeight="1" s="360">
      <c r="A73" s="77" t="n"/>
      <c r="B73" s="77" t="n"/>
      <c r="C73" s="77" t="n"/>
      <c r="D73" s="77" t="n"/>
      <c r="E73" s="77" t="n"/>
    </row>
    <row r="74" ht="15.75" customHeight="1" s="360">
      <c r="A74" s="77" t="n"/>
      <c r="B74" s="77" t="n"/>
      <c r="C74" s="77" t="n"/>
      <c r="D74" s="77" t="n"/>
      <c r="E74" s="77" t="n"/>
    </row>
    <row r="75" ht="15.75" customHeight="1" s="360">
      <c r="A75" s="77" t="n"/>
      <c r="B75" s="77" t="n"/>
      <c r="C75" s="77" t="n"/>
      <c r="D75" s="77" t="n"/>
      <c r="E75" s="77" t="n"/>
    </row>
    <row r="76" ht="15.75" customHeight="1" s="360">
      <c r="A76" s="77" t="n"/>
      <c r="B76" s="77" t="n"/>
      <c r="C76" s="77" t="n"/>
      <c r="D76" s="77" t="n"/>
      <c r="E76" s="77" t="n"/>
    </row>
    <row r="77" ht="15.75" customHeight="1" s="360">
      <c r="A77" s="77" t="n"/>
      <c r="B77" s="77" t="n"/>
      <c r="C77" s="77" t="n"/>
      <c r="D77" s="77" t="n"/>
      <c r="E77" s="77" t="n"/>
    </row>
    <row r="78" ht="15.75" customHeight="1" s="360">
      <c r="A78" s="77" t="n"/>
      <c r="B78" s="77" t="n"/>
      <c r="C78" s="77" t="n"/>
      <c r="D78" s="77" t="n"/>
      <c r="E78" s="77" t="n"/>
    </row>
    <row r="79" ht="15.75" customHeight="1" s="360">
      <c r="A79" s="77" t="n"/>
      <c r="B79" s="77" t="n"/>
      <c r="C79" s="77" t="n"/>
      <c r="D79" s="77" t="n"/>
      <c r="E79" s="77" t="n"/>
    </row>
    <row r="80" ht="15.75" customHeight="1" s="360">
      <c r="A80" s="77" t="n"/>
      <c r="B80" s="77" t="n"/>
      <c r="C80" s="77" t="n"/>
      <c r="D80" s="77" t="n"/>
      <c r="E80" s="77" t="n"/>
    </row>
    <row r="81" ht="15.75" customHeight="1" s="360">
      <c r="A81" s="77" t="n"/>
      <c r="B81" s="77" t="n"/>
      <c r="C81" s="77" t="n"/>
      <c r="D81" s="77" t="n"/>
      <c r="E81" s="77" t="n"/>
    </row>
    <row r="82" ht="15.75" customHeight="1" s="360">
      <c r="A82" s="77" t="n"/>
      <c r="B82" s="77" t="n"/>
      <c r="C82" s="77" t="n"/>
      <c r="D82" s="77" t="n"/>
      <c r="E82" s="77" t="n"/>
    </row>
    <row r="83" ht="15.75" customHeight="1" s="360">
      <c r="A83" s="77" t="n"/>
      <c r="B83" s="77" t="n"/>
      <c r="C83" s="77" t="n"/>
      <c r="D83" s="77" t="n"/>
      <c r="E83" s="77" t="n"/>
    </row>
    <row r="84" ht="15.75" customHeight="1" s="360">
      <c r="A84" s="77" t="n"/>
      <c r="B84" s="77" t="n"/>
      <c r="C84" s="77" t="n"/>
      <c r="D84" s="77" t="n"/>
      <c r="E84" s="77" t="n"/>
    </row>
    <row r="85" ht="15.75" customHeight="1" s="360">
      <c r="A85" s="77" t="n"/>
      <c r="B85" s="77" t="n"/>
      <c r="C85" s="77" t="n"/>
      <c r="D85" s="77" t="n"/>
      <c r="E85" s="77" t="n"/>
    </row>
    <row r="86" ht="15.75" customHeight="1" s="360">
      <c r="A86" s="77" t="n"/>
      <c r="B86" s="77" t="n"/>
      <c r="C86" s="77" t="n"/>
      <c r="D86" s="77" t="n"/>
      <c r="E86" s="77" t="n"/>
    </row>
    <row r="87" ht="15.75" customHeight="1" s="360">
      <c r="A87" s="77" t="n"/>
      <c r="B87" s="77" t="n"/>
      <c r="C87" s="77" t="n"/>
      <c r="D87" s="77" t="n"/>
      <c r="E87" s="77" t="n"/>
    </row>
    <row r="88" ht="15.75" customHeight="1" s="360">
      <c r="A88" s="77" t="n"/>
      <c r="B88" s="77" t="n"/>
      <c r="C88" s="77" t="n"/>
      <c r="D88" s="77" t="n"/>
      <c r="E88" s="77" t="n"/>
    </row>
    <row r="89" ht="15.75" customHeight="1" s="360">
      <c r="A89" s="77" t="n"/>
      <c r="B89" s="77" t="n"/>
      <c r="C89" s="77" t="n"/>
      <c r="D89" s="77" t="n"/>
      <c r="E89" s="77" t="n"/>
    </row>
    <row r="90" ht="15.75" customHeight="1" s="360">
      <c r="A90" s="77" t="n"/>
      <c r="B90" s="77" t="n"/>
      <c r="C90" s="77" t="n"/>
      <c r="D90" s="77" t="n"/>
      <c r="E90" s="77" t="n"/>
    </row>
    <row r="91" ht="15.75" customHeight="1" s="360">
      <c r="A91" s="77" t="n"/>
      <c r="B91" s="77" t="n"/>
      <c r="C91" s="77" t="n"/>
      <c r="D91" s="77" t="n"/>
      <c r="E91" s="77" t="n"/>
    </row>
    <row r="92" ht="15.75" customHeight="1" s="360">
      <c r="A92" s="77" t="n"/>
      <c r="B92" s="77" t="n"/>
      <c r="C92" s="77" t="n"/>
      <c r="D92" s="77" t="n"/>
      <c r="E92" s="77" t="n"/>
    </row>
    <row r="93" ht="15.75" customHeight="1" s="360">
      <c r="A93" s="77" t="n"/>
      <c r="B93" s="77" t="n"/>
      <c r="C93" s="77" t="n"/>
      <c r="D93" s="77" t="n"/>
      <c r="E93" s="77" t="n"/>
    </row>
    <row r="94" ht="15.75" customHeight="1" s="360">
      <c r="A94" s="77" t="n"/>
      <c r="B94" s="77" t="n"/>
      <c r="C94" s="77" t="n"/>
      <c r="D94" s="77" t="n"/>
      <c r="E94" s="77" t="n"/>
    </row>
    <row r="95" ht="15.75" customHeight="1" s="360">
      <c r="A95" s="77" t="n"/>
      <c r="B95" s="77" t="n"/>
      <c r="C95" s="77" t="n"/>
      <c r="D95" s="77" t="n"/>
      <c r="E95" s="77" t="n"/>
    </row>
    <row r="96" ht="15.75" customHeight="1" s="360">
      <c r="A96" s="77" t="n"/>
      <c r="B96" s="77" t="n"/>
      <c r="C96" s="77" t="n"/>
      <c r="D96" s="77" t="n"/>
      <c r="E96" s="77" t="n"/>
    </row>
    <row r="97" ht="15.75" customHeight="1" s="360">
      <c r="A97" s="77" t="n"/>
      <c r="B97" s="77" t="n"/>
      <c r="C97" s="77" t="n"/>
      <c r="D97" s="77" t="n"/>
      <c r="E97" s="77" t="n"/>
    </row>
    <row r="98" ht="15.75" customHeight="1" s="360">
      <c r="A98" s="77" t="n"/>
      <c r="B98" s="77" t="n"/>
      <c r="C98" s="77" t="n"/>
      <c r="D98" s="77" t="n"/>
      <c r="E98" s="77" t="n"/>
    </row>
    <row r="99" ht="15.75" customHeight="1" s="360">
      <c r="A99" s="77" t="n"/>
      <c r="B99" s="77" t="n"/>
      <c r="C99" s="77" t="n"/>
      <c r="D99" s="77" t="n"/>
      <c r="E99" s="77" t="n"/>
    </row>
    <row r="100" ht="15.75" customHeight="1" s="360">
      <c r="A100" s="77" t="n"/>
      <c r="B100" s="77" t="n"/>
      <c r="C100" s="77" t="n"/>
      <c r="D100" s="77" t="n"/>
      <c r="E100" s="77" t="n"/>
    </row>
    <row r="101" ht="15.75" customHeight="1" s="360">
      <c r="A101" s="77" t="n"/>
      <c r="B101" s="77" t="n"/>
      <c r="C101" s="77" t="n"/>
      <c r="D101" s="77" t="n"/>
      <c r="E101" s="77" t="n"/>
    </row>
    <row r="102" ht="15.75" customHeight="1" s="360">
      <c r="A102" s="77" t="n"/>
      <c r="B102" s="77" t="n"/>
      <c r="C102" s="77" t="n"/>
      <c r="D102" s="77" t="n"/>
      <c r="E102" s="77" t="n"/>
    </row>
    <row r="103" ht="15.75" customHeight="1" s="360">
      <c r="A103" s="77" t="n"/>
      <c r="B103" s="77" t="n"/>
      <c r="C103" s="77" t="n"/>
      <c r="D103" s="77" t="n"/>
      <c r="E103" s="77" t="n"/>
    </row>
    <row r="104" ht="15.75" customHeight="1" s="360">
      <c r="A104" s="77" t="n"/>
      <c r="B104" s="77" t="n"/>
      <c r="C104" s="77" t="n"/>
      <c r="D104" s="77" t="n"/>
      <c r="E104" s="77" t="n"/>
    </row>
    <row r="105" ht="15.75" customHeight="1" s="360">
      <c r="A105" s="77" t="n"/>
      <c r="B105" s="77" t="n"/>
      <c r="C105" s="77" t="n"/>
      <c r="D105" s="77" t="n"/>
      <c r="E105" s="77" t="n"/>
    </row>
    <row r="106" ht="15.75" customHeight="1" s="360">
      <c r="A106" s="77" t="n"/>
      <c r="B106" s="77" t="n"/>
      <c r="C106" s="77" t="n"/>
      <c r="D106" s="77" t="n"/>
      <c r="E106" s="77" t="n"/>
    </row>
    <row r="107" ht="15.75" customHeight="1" s="360">
      <c r="A107" s="77" t="n"/>
      <c r="B107" s="77" t="n"/>
      <c r="C107" s="77" t="n"/>
      <c r="D107" s="77" t="n"/>
      <c r="E107" s="77" t="n"/>
    </row>
    <row r="108" ht="15.75" customHeight="1" s="360">
      <c r="A108" s="77" t="n"/>
      <c r="B108" s="77" t="n"/>
      <c r="C108" s="77" t="n"/>
      <c r="D108" s="77" t="n"/>
      <c r="E108" s="77" t="n"/>
    </row>
    <row r="109" ht="15.75" customHeight="1" s="360">
      <c r="A109" s="77" t="n"/>
      <c r="B109" s="77" t="n"/>
      <c r="C109" s="77" t="n"/>
      <c r="D109" s="77" t="n"/>
      <c r="E109" s="77" t="n"/>
    </row>
    <row r="110" ht="15.75" customHeight="1" s="360">
      <c r="A110" s="77" t="n"/>
      <c r="B110" s="77" t="n"/>
      <c r="C110" s="77" t="n"/>
      <c r="D110" s="77" t="n"/>
      <c r="E110" s="77" t="n"/>
    </row>
    <row r="111" ht="15.75" customHeight="1" s="360">
      <c r="A111" s="77" t="n"/>
      <c r="B111" s="77" t="n"/>
      <c r="C111" s="77" t="n"/>
      <c r="D111" s="77" t="n"/>
      <c r="E111" s="77" t="n"/>
    </row>
    <row r="112" ht="15.75" customHeight="1" s="360">
      <c r="A112" s="77" t="n"/>
      <c r="B112" s="77" t="n"/>
      <c r="C112" s="77" t="n"/>
      <c r="D112" s="77" t="n"/>
      <c r="E112" s="77" t="n"/>
    </row>
    <row r="113" ht="15.75" customHeight="1" s="360">
      <c r="A113" s="77" t="n"/>
      <c r="B113" s="77" t="n"/>
      <c r="C113" s="77" t="n"/>
      <c r="D113" s="77" t="n"/>
      <c r="E113" s="77" t="n"/>
    </row>
    <row r="114" ht="15.75" customHeight="1" s="360">
      <c r="A114" s="77" t="n"/>
      <c r="B114" s="77" t="n"/>
      <c r="C114" s="77" t="n"/>
      <c r="D114" s="77" t="n"/>
      <c r="E114" s="77" t="n"/>
    </row>
    <row r="115" ht="15.75" customHeight="1" s="360">
      <c r="A115" s="77" t="n"/>
      <c r="B115" s="77" t="n"/>
      <c r="C115" s="77" t="n"/>
      <c r="D115" s="77" t="n"/>
      <c r="E115" s="77" t="n"/>
    </row>
    <row r="116" ht="15.75" customHeight="1" s="360">
      <c r="A116" s="77" t="n"/>
      <c r="B116" s="77" t="n"/>
      <c r="C116" s="77" t="n"/>
      <c r="D116" s="77" t="n"/>
      <c r="E116" s="77" t="n"/>
    </row>
    <row r="117" ht="15.75" customHeight="1" s="360">
      <c r="A117" s="77" t="n"/>
      <c r="B117" s="77" t="n"/>
      <c r="C117" s="77" t="n"/>
      <c r="D117" s="77" t="n"/>
      <c r="E117" s="77" t="n"/>
    </row>
    <row r="118" ht="15.75" customHeight="1" s="360">
      <c r="A118" s="77" t="n"/>
      <c r="B118" s="77" t="n"/>
      <c r="C118" s="77" t="n"/>
      <c r="D118" s="77" t="n"/>
      <c r="E118" s="77" t="n"/>
    </row>
    <row r="119" ht="15.75" customHeight="1" s="360">
      <c r="A119" s="77" t="n"/>
      <c r="B119" s="77" t="n"/>
      <c r="C119" s="77" t="n"/>
      <c r="D119" s="77" t="n"/>
      <c r="E119" s="77" t="n"/>
    </row>
    <row r="120" ht="15.75" customHeight="1" s="360">
      <c r="A120" s="77" t="n"/>
      <c r="B120" s="77" t="n"/>
      <c r="C120" s="77" t="n"/>
      <c r="D120" s="77" t="n"/>
      <c r="E120" s="77" t="n"/>
    </row>
    <row r="121" ht="15.75" customHeight="1" s="360">
      <c r="A121" s="77" t="n"/>
      <c r="B121" s="77" t="n"/>
      <c r="C121" s="77" t="n"/>
      <c r="D121" s="77" t="n"/>
      <c r="E121" s="77" t="n"/>
    </row>
    <row r="122" ht="15.75" customHeight="1" s="360">
      <c r="A122" s="77" t="n"/>
      <c r="B122" s="77" t="n"/>
      <c r="C122" s="77" t="n"/>
      <c r="D122" s="77" t="n"/>
      <c r="E122" s="77" t="n"/>
    </row>
    <row r="123" ht="15.75" customHeight="1" s="360">
      <c r="A123" s="77" t="n"/>
      <c r="B123" s="77" t="n"/>
      <c r="C123" s="77" t="n"/>
      <c r="D123" s="77" t="n"/>
      <c r="E123" s="77" t="n"/>
    </row>
    <row r="124" ht="15.75" customHeight="1" s="360">
      <c r="A124" s="77" t="n"/>
      <c r="B124" s="77" t="n"/>
      <c r="C124" s="77" t="n"/>
      <c r="D124" s="77" t="n"/>
      <c r="E124" s="77" t="n"/>
    </row>
    <row r="125" ht="15.75" customHeight="1" s="360">
      <c r="A125" s="77" t="n"/>
      <c r="B125" s="77" t="n"/>
      <c r="C125" s="77" t="n"/>
      <c r="D125" s="77" t="n"/>
      <c r="E125" s="77" t="n"/>
    </row>
    <row r="126" ht="15.75" customHeight="1" s="360">
      <c r="A126" s="77" t="n"/>
      <c r="B126" s="77" t="n"/>
      <c r="C126" s="77" t="n"/>
      <c r="D126" s="77" t="n"/>
      <c r="E126" s="77" t="n"/>
    </row>
    <row r="127" ht="15.75" customHeight="1" s="360">
      <c r="A127" s="77" t="n"/>
      <c r="B127" s="77" t="n"/>
      <c r="C127" s="77" t="n"/>
      <c r="D127" s="77" t="n"/>
      <c r="E127" s="77" t="n"/>
    </row>
    <row r="128" ht="15.75" customHeight="1" s="360">
      <c r="A128" s="77" t="n"/>
      <c r="B128" s="77" t="n"/>
      <c r="C128" s="77" t="n"/>
      <c r="D128" s="77" t="n"/>
      <c r="E128" s="77" t="n"/>
    </row>
    <row r="129" ht="15.75" customHeight="1" s="360">
      <c r="A129" s="77" t="n"/>
      <c r="B129" s="77" t="n"/>
      <c r="C129" s="77" t="n"/>
      <c r="D129" s="77" t="n"/>
      <c r="E129" s="77" t="n"/>
    </row>
    <row r="130" ht="15.75" customHeight="1" s="360">
      <c r="A130" s="77" t="n"/>
      <c r="B130" s="77" t="n"/>
      <c r="C130" s="77" t="n"/>
      <c r="D130" s="77" t="n"/>
      <c r="E130" s="77" t="n"/>
    </row>
    <row r="131" ht="15.75" customHeight="1" s="360">
      <c r="A131" s="77" t="n"/>
      <c r="B131" s="77" t="n"/>
      <c r="C131" s="77" t="n"/>
      <c r="D131" s="77" t="n"/>
      <c r="E131" s="77" t="n"/>
    </row>
    <row r="132" ht="15.75" customHeight="1" s="360">
      <c r="A132" s="77" t="n"/>
      <c r="B132" s="77" t="n"/>
      <c r="C132" s="77" t="n"/>
      <c r="D132" s="77" t="n"/>
      <c r="E132" s="77" t="n"/>
    </row>
    <row r="133" ht="15.75" customHeight="1" s="360">
      <c r="A133" s="77" t="n"/>
      <c r="B133" s="77" t="n"/>
      <c r="C133" s="77" t="n"/>
      <c r="D133" s="77" t="n"/>
      <c r="E133" s="77" t="n"/>
    </row>
    <row r="134" ht="15.75" customHeight="1" s="360">
      <c r="A134" s="77" t="n"/>
      <c r="B134" s="77" t="n"/>
      <c r="C134" s="77" t="n"/>
      <c r="D134" s="77" t="n"/>
      <c r="E134" s="77" t="n"/>
    </row>
    <row r="135" ht="15.75" customHeight="1" s="360">
      <c r="A135" s="77" t="n"/>
      <c r="B135" s="77" t="n"/>
      <c r="C135" s="77" t="n"/>
      <c r="D135" s="77" t="n"/>
      <c r="E135" s="77" t="n"/>
    </row>
    <row r="136" ht="15.75" customHeight="1" s="360">
      <c r="A136" s="77" t="n"/>
      <c r="B136" s="77" t="n"/>
      <c r="C136" s="77" t="n"/>
      <c r="D136" s="77" t="n"/>
      <c r="E136" s="77" t="n"/>
    </row>
    <row r="137" ht="15.75" customHeight="1" s="360">
      <c r="A137" s="77" t="n"/>
      <c r="B137" s="77" t="n"/>
      <c r="C137" s="77" t="n"/>
      <c r="D137" s="77" t="n"/>
      <c r="E137" s="77" t="n"/>
    </row>
    <row r="138" ht="15.75" customHeight="1" s="360">
      <c r="A138" s="77" t="n"/>
      <c r="B138" s="77" t="n"/>
      <c r="C138" s="77" t="n"/>
      <c r="D138" s="77" t="n"/>
      <c r="E138" s="77" t="n"/>
    </row>
    <row r="139" ht="15.75" customHeight="1" s="360">
      <c r="A139" s="77" t="n"/>
      <c r="B139" s="77" t="n"/>
      <c r="C139" s="77" t="n"/>
      <c r="D139" s="77" t="n"/>
      <c r="E139" s="77" t="n"/>
    </row>
    <row r="140" ht="15.75" customHeight="1" s="360">
      <c r="A140" s="77" t="n"/>
      <c r="B140" s="77" t="n"/>
      <c r="C140" s="77" t="n"/>
      <c r="D140" s="77" t="n"/>
      <c r="E140" s="77" t="n"/>
    </row>
    <row r="141" ht="15.75" customHeight="1" s="360">
      <c r="A141" s="77" t="n"/>
      <c r="B141" s="77" t="n"/>
      <c r="C141" s="77" t="n"/>
      <c r="D141" s="77" t="n"/>
      <c r="E141" s="77" t="n"/>
    </row>
    <row r="142" ht="15.75" customHeight="1" s="360">
      <c r="A142" s="77" t="n"/>
      <c r="B142" s="77" t="n"/>
      <c r="C142" s="77" t="n"/>
      <c r="D142" s="77" t="n"/>
      <c r="E142" s="77" t="n"/>
    </row>
    <row r="143" ht="15.75" customHeight="1" s="360">
      <c r="A143" s="77" t="n"/>
      <c r="B143" s="77" t="n"/>
      <c r="C143" s="77" t="n"/>
      <c r="D143" s="77" t="n"/>
      <c r="E143" s="77" t="n"/>
    </row>
    <row r="144" ht="15.75" customHeight="1" s="360">
      <c r="A144" s="77" t="n"/>
      <c r="B144" s="77" t="n"/>
      <c r="C144" s="77" t="n"/>
      <c r="D144" s="77" t="n"/>
      <c r="E144" s="77" t="n"/>
    </row>
    <row r="145" ht="15.75" customHeight="1" s="360">
      <c r="A145" s="77" t="n"/>
      <c r="B145" s="77" t="n"/>
      <c r="C145" s="77" t="n"/>
      <c r="D145" s="77" t="n"/>
      <c r="E145" s="77" t="n"/>
    </row>
    <row r="146" ht="15.75" customHeight="1" s="360">
      <c r="A146" s="77" t="n"/>
      <c r="B146" s="77" t="n"/>
      <c r="C146" s="77" t="n"/>
      <c r="D146" s="77" t="n"/>
      <c r="E146" s="77" t="n"/>
    </row>
    <row r="147" ht="15.75" customHeight="1" s="360">
      <c r="A147" s="77" t="n"/>
      <c r="B147" s="77" t="n"/>
      <c r="C147" s="77" t="n"/>
      <c r="D147" s="77" t="n"/>
      <c r="E147" s="77" t="n"/>
    </row>
    <row r="148" ht="15.75" customHeight="1" s="360">
      <c r="A148" s="77" t="n"/>
      <c r="B148" s="77" t="n"/>
      <c r="C148" s="77" t="n"/>
      <c r="D148" s="77" t="n"/>
      <c r="E148" s="77" t="n"/>
    </row>
    <row r="149" ht="15.75" customHeight="1" s="360">
      <c r="A149" s="77" t="n"/>
      <c r="B149" s="77" t="n"/>
      <c r="C149" s="77" t="n"/>
      <c r="D149" s="77" t="n"/>
      <c r="E149" s="77" t="n"/>
    </row>
    <row r="150" ht="15.75" customHeight="1" s="360">
      <c r="A150" s="77" t="n"/>
      <c r="B150" s="77" t="n"/>
      <c r="C150" s="77" t="n"/>
      <c r="D150" s="77" t="n"/>
      <c r="E150" s="77" t="n"/>
    </row>
    <row r="151" ht="15.75" customHeight="1" s="360">
      <c r="A151" s="77" t="n"/>
      <c r="B151" s="77" t="n"/>
      <c r="C151" s="77" t="n"/>
      <c r="D151" s="77" t="n"/>
      <c r="E151" s="77" t="n"/>
    </row>
    <row r="152" ht="15.75" customHeight="1" s="360">
      <c r="A152" s="77" t="n"/>
      <c r="B152" s="77" t="n"/>
      <c r="C152" s="77" t="n"/>
      <c r="D152" s="77" t="n"/>
      <c r="E152" s="77" t="n"/>
    </row>
    <row r="153" ht="15.75" customHeight="1" s="360">
      <c r="A153" s="77" t="n"/>
      <c r="B153" s="77" t="n"/>
      <c r="C153" s="77" t="n"/>
      <c r="D153" s="77" t="n"/>
      <c r="E153" s="77" t="n"/>
    </row>
    <row r="154" ht="15.75" customHeight="1" s="360">
      <c r="A154" s="77" t="n"/>
      <c r="B154" s="77" t="n"/>
      <c r="C154" s="77" t="n"/>
      <c r="D154" s="77" t="n"/>
      <c r="E154" s="77" t="n"/>
    </row>
    <row r="155" ht="15.75" customHeight="1" s="360">
      <c r="A155" s="77" t="n"/>
      <c r="B155" s="77" t="n"/>
      <c r="C155" s="77" t="n"/>
      <c r="D155" s="77" t="n"/>
      <c r="E155" s="77" t="n"/>
    </row>
    <row r="156" ht="15.75" customHeight="1" s="360">
      <c r="A156" s="77" t="n"/>
      <c r="B156" s="77" t="n"/>
      <c r="C156" s="77" t="n"/>
      <c r="D156" s="77" t="n"/>
      <c r="E156" s="77" t="n"/>
    </row>
    <row r="157" ht="15.75" customHeight="1" s="360">
      <c r="A157" s="77" t="n"/>
      <c r="B157" s="77" t="n"/>
      <c r="C157" s="77" t="n"/>
      <c r="D157" s="77" t="n"/>
      <c r="E157" s="77" t="n"/>
    </row>
    <row r="158" ht="15.75" customHeight="1" s="360">
      <c r="A158" s="77" t="n"/>
      <c r="B158" s="77" t="n"/>
      <c r="C158" s="77" t="n"/>
      <c r="D158" s="77" t="n"/>
      <c r="E158" s="77" t="n"/>
    </row>
    <row r="159" ht="15.75" customHeight="1" s="360">
      <c r="A159" s="77" t="n"/>
      <c r="B159" s="77" t="n"/>
      <c r="C159" s="77" t="n"/>
      <c r="D159" s="77" t="n"/>
      <c r="E159" s="77" t="n"/>
    </row>
    <row r="160" ht="15.75" customHeight="1" s="360">
      <c r="A160" s="77" t="n"/>
      <c r="B160" s="77" t="n"/>
      <c r="C160" s="77" t="n"/>
      <c r="D160" s="77" t="n"/>
      <c r="E160" s="77" t="n"/>
    </row>
    <row r="161" ht="15.75" customHeight="1" s="360">
      <c r="A161" s="77" t="n"/>
      <c r="B161" s="77" t="n"/>
      <c r="C161" s="77" t="n"/>
      <c r="D161" s="77" t="n"/>
      <c r="E161" s="77" t="n"/>
    </row>
    <row r="162" ht="15.75" customHeight="1" s="360">
      <c r="A162" s="77" t="n"/>
      <c r="B162" s="77" t="n"/>
      <c r="C162" s="77" t="n"/>
      <c r="D162" s="77" t="n"/>
      <c r="E162" s="77" t="n"/>
    </row>
    <row r="163" ht="15.75" customHeight="1" s="360">
      <c r="A163" s="77" t="n"/>
      <c r="B163" s="77" t="n"/>
      <c r="C163" s="77" t="n"/>
      <c r="D163" s="77" t="n"/>
      <c r="E163" s="77" t="n"/>
    </row>
    <row r="164" ht="15.75" customHeight="1" s="360">
      <c r="A164" s="77" t="n"/>
      <c r="B164" s="77" t="n"/>
      <c r="C164" s="77" t="n"/>
      <c r="D164" s="77" t="n"/>
      <c r="E164" s="77" t="n"/>
    </row>
    <row r="165" ht="15.75" customHeight="1" s="360">
      <c r="A165" s="77" t="n"/>
      <c r="B165" s="77" t="n"/>
      <c r="C165" s="77" t="n"/>
      <c r="D165" s="77" t="n"/>
      <c r="E165" s="77" t="n"/>
    </row>
    <row r="166" ht="15.75" customHeight="1" s="360">
      <c r="A166" s="77" t="n"/>
      <c r="B166" s="77" t="n"/>
      <c r="C166" s="77" t="n"/>
      <c r="D166" s="77" t="n"/>
      <c r="E166" s="77" t="n"/>
    </row>
    <row r="167" ht="15.75" customHeight="1" s="360">
      <c r="A167" s="77" t="n"/>
      <c r="B167" s="77" t="n"/>
      <c r="C167" s="77" t="n"/>
      <c r="D167" s="77" t="n"/>
      <c r="E167" s="77" t="n"/>
    </row>
    <row r="168" ht="15.75" customHeight="1" s="360">
      <c r="A168" s="77" t="n"/>
      <c r="B168" s="77" t="n"/>
      <c r="C168" s="77" t="n"/>
      <c r="D168" s="77" t="n"/>
      <c r="E168" s="77" t="n"/>
    </row>
    <row r="169" ht="15.75" customHeight="1" s="360">
      <c r="A169" s="77" t="n"/>
      <c r="B169" s="77" t="n"/>
      <c r="C169" s="77" t="n"/>
      <c r="D169" s="77" t="n"/>
      <c r="E169" s="77" t="n"/>
    </row>
    <row r="170" ht="15.75" customHeight="1" s="360">
      <c r="A170" s="77" t="n"/>
      <c r="B170" s="77" t="n"/>
      <c r="C170" s="77" t="n"/>
      <c r="D170" s="77" t="n"/>
      <c r="E170" s="77" t="n"/>
    </row>
    <row r="171" ht="15.75" customHeight="1" s="360">
      <c r="A171" s="77" t="n"/>
      <c r="B171" s="77" t="n"/>
      <c r="C171" s="77" t="n"/>
      <c r="D171" s="77" t="n"/>
      <c r="E171" s="77" t="n"/>
    </row>
    <row r="172" ht="15.75" customHeight="1" s="360">
      <c r="A172" s="77" t="n"/>
      <c r="B172" s="77" t="n"/>
      <c r="C172" s="77" t="n"/>
      <c r="D172" s="77" t="n"/>
      <c r="E172" s="77" t="n"/>
    </row>
    <row r="173" ht="15.75" customHeight="1" s="360">
      <c r="A173" s="77" t="n"/>
      <c r="B173" s="77" t="n"/>
      <c r="C173" s="77" t="n"/>
      <c r="D173" s="77" t="n"/>
      <c r="E173" s="77" t="n"/>
    </row>
    <row r="174" ht="15.75" customHeight="1" s="360">
      <c r="A174" s="77" t="n"/>
      <c r="B174" s="77" t="n"/>
      <c r="C174" s="77" t="n"/>
      <c r="D174" s="77" t="n"/>
      <c r="E174" s="77" t="n"/>
    </row>
    <row r="175" ht="15.75" customHeight="1" s="360">
      <c r="A175" s="77" t="n"/>
      <c r="B175" s="77" t="n"/>
      <c r="C175" s="77" t="n"/>
      <c r="D175" s="77" t="n"/>
      <c r="E175" s="77" t="n"/>
    </row>
    <row r="176" ht="15.75" customHeight="1" s="360">
      <c r="A176" s="77" t="n"/>
      <c r="B176" s="77" t="n"/>
      <c r="C176" s="77" t="n"/>
      <c r="D176" s="77" t="n"/>
      <c r="E176" s="77" t="n"/>
    </row>
    <row r="177" ht="15.75" customHeight="1" s="360">
      <c r="A177" s="77" t="n"/>
      <c r="B177" s="77" t="n"/>
      <c r="C177" s="77" t="n"/>
      <c r="D177" s="77" t="n"/>
      <c r="E177" s="77" t="n"/>
    </row>
    <row r="178" ht="15.75" customHeight="1" s="360">
      <c r="A178" s="77" t="n"/>
      <c r="B178" s="77" t="n"/>
      <c r="C178" s="77" t="n"/>
      <c r="D178" s="77" t="n"/>
      <c r="E178" s="77" t="n"/>
    </row>
    <row r="179" ht="15.75" customHeight="1" s="360">
      <c r="A179" s="77" t="n"/>
      <c r="B179" s="77" t="n"/>
      <c r="C179" s="77" t="n"/>
      <c r="D179" s="77" t="n"/>
      <c r="E179" s="77" t="n"/>
    </row>
    <row r="180" ht="15.75" customHeight="1" s="360">
      <c r="A180" s="77" t="n"/>
      <c r="B180" s="77" t="n"/>
      <c r="C180" s="77" t="n"/>
      <c r="D180" s="77" t="n"/>
      <c r="E180" s="77" t="n"/>
    </row>
    <row r="181" ht="15.75" customHeight="1" s="360">
      <c r="A181" s="77" t="n"/>
      <c r="B181" s="77" t="n"/>
      <c r="C181" s="77" t="n"/>
      <c r="D181" s="77" t="n"/>
      <c r="E181" s="77" t="n"/>
    </row>
    <row r="182" ht="15.75" customHeight="1" s="360">
      <c r="A182" s="77" t="n"/>
      <c r="B182" s="77" t="n"/>
      <c r="C182" s="77" t="n"/>
      <c r="D182" s="77" t="n"/>
      <c r="E182" s="77" t="n"/>
    </row>
    <row r="183" ht="15.75" customHeight="1" s="360">
      <c r="A183" s="77" t="n"/>
      <c r="B183" s="77" t="n"/>
      <c r="C183" s="77" t="n"/>
      <c r="D183" s="77" t="n"/>
      <c r="E183" s="77" t="n"/>
    </row>
    <row r="184" ht="15.75" customHeight="1" s="360">
      <c r="A184" s="77" t="n"/>
      <c r="B184" s="77" t="n"/>
      <c r="C184" s="77" t="n"/>
      <c r="D184" s="77" t="n"/>
      <c r="E184" s="77" t="n"/>
    </row>
    <row r="185" ht="15.75" customHeight="1" s="360">
      <c r="A185" s="77" t="n"/>
      <c r="B185" s="77" t="n"/>
      <c r="C185" s="77" t="n"/>
      <c r="D185" s="77" t="n"/>
      <c r="E185" s="77" t="n"/>
    </row>
    <row r="186" ht="15.75" customHeight="1" s="360">
      <c r="A186" s="77" t="n"/>
      <c r="B186" s="77" t="n"/>
      <c r="C186" s="77" t="n"/>
      <c r="D186" s="77" t="n"/>
      <c r="E186" s="77" t="n"/>
    </row>
    <row r="187" ht="15.75" customHeight="1" s="360">
      <c r="A187" s="77" t="n"/>
      <c r="B187" s="77" t="n"/>
      <c r="C187" s="77" t="n"/>
      <c r="D187" s="77" t="n"/>
      <c r="E187" s="77" t="n"/>
    </row>
    <row r="188" ht="15.75" customHeight="1" s="360">
      <c r="A188" s="77" t="n"/>
      <c r="B188" s="77" t="n"/>
      <c r="C188" s="77" t="n"/>
      <c r="D188" s="77" t="n"/>
      <c r="E188" s="77" t="n"/>
    </row>
    <row r="189" ht="15.75" customHeight="1" s="360">
      <c r="A189" s="77" t="n"/>
      <c r="B189" s="77" t="n"/>
      <c r="C189" s="77" t="n"/>
      <c r="D189" s="77" t="n"/>
      <c r="E189" s="77" t="n"/>
    </row>
    <row r="190" ht="15.75" customHeight="1" s="360">
      <c r="A190" s="77" t="n"/>
      <c r="B190" s="77" t="n"/>
      <c r="C190" s="77" t="n"/>
      <c r="D190" s="77" t="n"/>
      <c r="E190" s="77" t="n"/>
    </row>
    <row r="191" ht="15.75" customHeight="1" s="360">
      <c r="A191" s="77" t="n"/>
      <c r="B191" s="77" t="n"/>
      <c r="C191" s="77" t="n"/>
      <c r="D191" s="77" t="n"/>
      <c r="E191" s="77" t="n"/>
    </row>
    <row r="192" ht="15.75" customHeight="1" s="360">
      <c r="A192" s="77" t="n"/>
      <c r="B192" s="77" t="n"/>
      <c r="C192" s="77" t="n"/>
      <c r="D192" s="77" t="n"/>
      <c r="E192" s="77" t="n"/>
    </row>
    <row r="193" ht="15.75" customHeight="1" s="360">
      <c r="A193" s="77" t="n"/>
      <c r="B193" s="77" t="n"/>
      <c r="C193" s="77" t="n"/>
      <c r="D193" s="77" t="n"/>
      <c r="E193" s="77" t="n"/>
    </row>
    <row r="194" ht="15.75" customHeight="1" s="360">
      <c r="A194" s="77" t="n"/>
      <c r="B194" s="77" t="n"/>
      <c r="C194" s="77" t="n"/>
      <c r="D194" s="77" t="n"/>
      <c r="E194" s="77" t="n"/>
    </row>
    <row r="195" ht="15.75" customHeight="1" s="360">
      <c r="A195" s="77" t="n"/>
      <c r="B195" s="77" t="n"/>
      <c r="C195" s="77" t="n"/>
      <c r="D195" s="77" t="n"/>
      <c r="E195" s="77" t="n"/>
    </row>
    <row r="196" ht="15.75" customHeight="1" s="360">
      <c r="A196" s="77" t="n"/>
      <c r="B196" s="77" t="n"/>
      <c r="C196" s="77" t="n"/>
      <c r="D196" s="77" t="n"/>
      <c r="E196" s="77" t="n"/>
    </row>
    <row r="197" ht="15.75" customHeight="1" s="360">
      <c r="A197" s="77" t="n"/>
      <c r="B197" s="77" t="n"/>
      <c r="C197" s="77" t="n"/>
      <c r="D197" s="77" t="n"/>
      <c r="E197" s="77" t="n"/>
    </row>
    <row r="198" ht="15.75" customHeight="1" s="360">
      <c r="A198" s="77" t="n"/>
      <c r="B198" s="77" t="n"/>
      <c r="C198" s="77" t="n"/>
      <c r="D198" s="77" t="n"/>
      <c r="E198" s="77" t="n"/>
    </row>
    <row r="199" ht="15.75" customHeight="1" s="360">
      <c r="A199" s="77" t="n"/>
      <c r="B199" s="77" t="n"/>
      <c r="C199" s="77" t="n"/>
      <c r="D199" s="77" t="n"/>
      <c r="E199" s="77" t="n"/>
    </row>
    <row r="200" ht="15.75" customHeight="1" s="360">
      <c r="A200" s="77" t="n"/>
      <c r="B200" s="77" t="n"/>
      <c r="C200" s="77" t="n"/>
      <c r="D200" s="77" t="n"/>
      <c r="E200" s="77" t="n"/>
    </row>
    <row r="201" ht="15.75" customHeight="1" s="360">
      <c r="A201" s="77" t="n"/>
      <c r="B201" s="77" t="n"/>
      <c r="C201" s="77" t="n"/>
      <c r="D201" s="77" t="n"/>
      <c r="E201" s="77" t="n"/>
    </row>
    <row r="202" ht="15.75" customHeight="1" s="360">
      <c r="A202" s="77" t="n"/>
      <c r="B202" s="77" t="n"/>
      <c r="C202" s="77" t="n"/>
      <c r="D202" s="77" t="n"/>
      <c r="E202" s="77" t="n"/>
    </row>
    <row r="203" ht="15.75" customHeight="1" s="360">
      <c r="A203" s="77" t="n"/>
      <c r="B203" s="77" t="n"/>
      <c r="C203" s="77" t="n"/>
      <c r="D203" s="77" t="n"/>
      <c r="E203" s="77" t="n"/>
    </row>
    <row r="204" ht="15.75" customHeight="1" s="360">
      <c r="A204" s="77" t="n"/>
      <c r="B204" s="77" t="n"/>
      <c r="C204" s="77" t="n"/>
      <c r="D204" s="77" t="n"/>
      <c r="E204" s="77" t="n"/>
    </row>
    <row r="205" ht="15.75" customHeight="1" s="360">
      <c r="A205" s="77" t="n"/>
      <c r="B205" s="77" t="n"/>
      <c r="C205" s="77" t="n"/>
      <c r="D205" s="77" t="n"/>
      <c r="E205" s="77" t="n"/>
    </row>
    <row r="206" ht="15.75" customHeight="1" s="360">
      <c r="A206" s="77" t="n"/>
      <c r="B206" s="77" t="n"/>
      <c r="C206" s="77" t="n"/>
      <c r="D206" s="77" t="n"/>
      <c r="E206" s="77" t="n"/>
    </row>
    <row r="207" ht="15.75" customHeight="1" s="360">
      <c r="A207" s="77" t="n"/>
      <c r="B207" s="77" t="n"/>
      <c r="C207" s="77" t="n"/>
      <c r="D207" s="77" t="n"/>
      <c r="E207" s="77" t="n"/>
    </row>
    <row r="208" ht="15.75" customHeight="1" s="360">
      <c r="A208" s="77" t="n"/>
      <c r="B208" s="77" t="n"/>
      <c r="C208" s="77" t="n"/>
      <c r="D208" s="77" t="n"/>
      <c r="E208" s="77" t="n"/>
    </row>
    <row r="209" ht="15.75" customHeight="1" s="360">
      <c r="A209" s="77" t="n"/>
      <c r="B209" s="77" t="n"/>
      <c r="C209" s="77" t="n"/>
      <c r="D209" s="77" t="n"/>
      <c r="E209" s="77" t="n"/>
    </row>
    <row r="210" ht="15.75" customHeight="1" s="360">
      <c r="A210" s="77" t="n"/>
      <c r="B210" s="77" t="n"/>
      <c r="C210" s="77" t="n"/>
      <c r="D210" s="77" t="n"/>
      <c r="E210" s="77" t="n"/>
    </row>
    <row r="211" ht="15.75" customHeight="1" s="360">
      <c r="A211" s="77" t="n"/>
      <c r="B211" s="77" t="n"/>
      <c r="C211" s="77" t="n"/>
      <c r="D211" s="77" t="n"/>
      <c r="E211" s="77" t="n"/>
    </row>
    <row r="212" ht="15.75" customHeight="1" s="360">
      <c r="A212" s="77" t="n"/>
      <c r="B212" s="77" t="n"/>
      <c r="C212" s="77" t="n"/>
      <c r="D212" s="77" t="n"/>
      <c r="E212" s="77" t="n"/>
    </row>
    <row r="213" ht="15.75" customHeight="1" s="360">
      <c r="A213" s="77" t="n"/>
      <c r="B213" s="77" t="n"/>
      <c r="C213" s="77" t="n"/>
      <c r="D213" s="77" t="n"/>
      <c r="E213" s="77" t="n"/>
    </row>
    <row r="214" ht="15.75" customHeight="1" s="360">
      <c r="A214" s="77" t="n"/>
      <c r="B214" s="77" t="n"/>
      <c r="C214" s="77" t="n"/>
      <c r="D214" s="77" t="n"/>
      <c r="E214" s="77" t="n"/>
    </row>
    <row r="215" ht="15.75" customHeight="1" s="360">
      <c r="A215" s="77" t="n"/>
      <c r="B215" s="77" t="n"/>
      <c r="C215" s="77" t="n"/>
      <c r="D215" s="77" t="n"/>
      <c r="E215" s="77" t="n"/>
    </row>
    <row r="216" ht="15.75" customHeight="1" s="360">
      <c r="A216" s="77" t="n"/>
      <c r="B216" s="77" t="n"/>
      <c r="C216" s="77" t="n"/>
      <c r="D216" s="77" t="n"/>
      <c r="E216" s="77" t="n"/>
    </row>
    <row r="217" ht="15.75" customHeight="1" s="360">
      <c r="A217" s="77" t="n"/>
      <c r="B217" s="77" t="n"/>
      <c r="C217" s="77" t="n"/>
      <c r="D217" s="77" t="n"/>
      <c r="E217" s="77" t="n"/>
    </row>
    <row r="218" ht="15.75" customHeight="1" s="360">
      <c r="A218" s="77" t="n"/>
      <c r="B218" s="77" t="n"/>
      <c r="C218" s="77" t="n"/>
      <c r="D218" s="77" t="n"/>
      <c r="E218" s="77" t="n"/>
    </row>
    <row r="219" ht="15.75" customHeight="1" s="360">
      <c r="A219" s="77" t="n"/>
      <c r="B219" s="77" t="n"/>
      <c r="C219" s="77" t="n"/>
      <c r="D219" s="77" t="n"/>
      <c r="E219" s="77" t="n"/>
    </row>
    <row r="220" ht="15.75" customHeight="1" s="360">
      <c r="A220" s="77" t="n"/>
      <c r="B220" s="77" t="n"/>
      <c r="C220" s="77" t="n"/>
      <c r="D220" s="77" t="n"/>
      <c r="E220" s="77" t="n"/>
    </row>
    <row r="221" ht="15.75" customHeight="1" s="360">
      <c r="A221" s="77" t="n"/>
      <c r="B221" s="77" t="n"/>
      <c r="C221" s="77" t="n"/>
      <c r="D221" s="77" t="n"/>
      <c r="E221" s="77" t="n"/>
    </row>
    <row r="222" ht="15.75" customHeight="1" s="360">
      <c r="A222" s="77" t="n"/>
      <c r="B222" s="77" t="n"/>
      <c r="C222" s="77" t="n"/>
      <c r="D222" s="77" t="n"/>
      <c r="E222" s="77" t="n"/>
    </row>
    <row r="223" ht="15.75" customHeight="1" s="360">
      <c r="A223" s="77" t="n"/>
      <c r="B223" s="77" t="n"/>
      <c r="C223" s="77" t="n"/>
      <c r="D223" s="77" t="n"/>
      <c r="E223" s="77" t="n"/>
    </row>
    <row r="224" ht="15.75" customHeight="1" s="360">
      <c r="A224" s="77" t="n"/>
      <c r="B224" s="77" t="n"/>
      <c r="C224" s="77" t="n"/>
      <c r="D224" s="77" t="n"/>
      <c r="E224" s="77" t="n"/>
    </row>
    <row r="225" ht="15.75" customHeight="1" s="360">
      <c r="A225" s="77" t="n"/>
      <c r="B225" s="77" t="n"/>
      <c r="C225" s="77" t="n"/>
      <c r="D225" s="77" t="n"/>
      <c r="E225" s="77" t="n"/>
    </row>
    <row r="226" ht="15.75" customHeight="1" s="360">
      <c r="A226" s="77" t="n"/>
      <c r="B226" s="77" t="n"/>
      <c r="C226" s="77" t="n"/>
      <c r="D226" s="77" t="n"/>
      <c r="E226" s="77" t="n"/>
    </row>
    <row r="227" ht="15.75" customHeight="1" s="360">
      <c r="A227" s="77" t="n"/>
      <c r="B227" s="77" t="n"/>
      <c r="C227" s="77" t="n"/>
      <c r="D227" s="77" t="n"/>
      <c r="E227" s="77" t="n"/>
    </row>
    <row r="228" ht="15.75" customHeight="1" s="360">
      <c r="A228" s="77" t="n"/>
      <c r="B228" s="77" t="n"/>
      <c r="C228" s="77" t="n"/>
      <c r="D228" s="77" t="n"/>
      <c r="E228" s="77" t="n"/>
    </row>
    <row r="229" ht="15.75" customHeight="1" s="360">
      <c r="A229" s="77" t="n"/>
      <c r="B229" s="77" t="n"/>
      <c r="C229" s="77" t="n"/>
      <c r="D229" s="77" t="n"/>
      <c r="E229" s="77" t="n"/>
    </row>
    <row r="230" ht="15.75" customHeight="1" s="360">
      <c r="A230" s="77" t="n"/>
      <c r="B230" s="77" t="n"/>
      <c r="C230" s="77" t="n"/>
      <c r="D230" s="77" t="n"/>
      <c r="E230" s="77" t="n"/>
    </row>
    <row r="231" ht="15.75" customHeight="1" s="360">
      <c r="A231" s="77" t="n"/>
      <c r="B231" s="77" t="n"/>
      <c r="C231" s="77" t="n"/>
      <c r="D231" s="77" t="n"/>
      <c r="E231" s="77" t="n"/>
    </row>
    <row r="232" ht="15.75" customHeight="1" s="360">
      <c r="A232" s="77" t="n"/>
      <c r="B232" s="77" t="n"/>
      <c r="C232" s="77" t="n"/>
      <c r="D232" s="77" t="n"/>
      <c r="E232" s="77" t="n"/>
    </row>
    <row r="233" ht="15.75" customHeight="1" s="360">
      <c r="A233" s="77" t="n"/>
      <c r="B233" s="77" t="n"/>
      <c r="C233" s="77" t="n"/>
      <c r="D233" s="77" t="n"/>
      <c r="E233" s="77" t="n"/>
    </row>
    <row r="234" ht="15.75" customHeight="1" s="360">
      <c r="A234" s="77" t="n"/>
      <c r="B234" s="77" t="n"/>
      <c r="C234" s="77" t="n"/>
      <c r="D234" s="77" t="n"/>
      <c r="E234" s="77" t="n"/>
    </row>
    <row r="235" ht="15.75" customHeight="1" s="360">
      <c r="A235" s="77" t="n"/>
      <c r="B235" s="77" t="n"/>
      <c r="C235" s="77" t="n"/>
      <c r="D235" s="77" t="n"/>
      <c r="E235" s="77" t="n"/>
    </row>
    <row r="236" ht="15.75" customHeight="1" s="360">
      <c r="A236" s="77" t="n"/>
      <c r="B236" s="77" t="n"/>
      <c r="C236" s="77" t="n"/>
      <c r="D236" s="77" t="n"/>
      <c r="E236" s="77" t="n"/>
    </row>
    <row r="237" ht="15.75" customHeight="1" s="360">
      <c r="A237" s="77" t="n"/>
      <c r="B237" s="77" t="n"/>
      <c r="C237" s="77" t="n"/>
      <c r="D237" s="77" t="n"/>
      <c r="E237" s="77" t="n"/>
    </row>
    <row r="238" ht="15.75" customHeight="1" s="360">
      <c r="A238" s="77" t="n"/>
      <c r="B238" s="77" t="n"/>
      <c r="C238" s="77" t="n"/>
      <c r="D238" s="77" t="n"/>
      <c r="E238" s="77" t="n"/>
    </row>
    <row r="239" ht="15.75" customHeight="1" s="360">
      <c r="A239" s="77" t="n"/>
      <c r="B239" s="77" t="n"/>
      <c r="C239" s="77" t="n"/>
      <c r="D239" s="77" t="n"/>
      <c r="E239" s="77" t="n"/>
    </row>
    <row r="240" ht="15.75" customHeight="1" s="360">
      <c r="A240" s="77" t="n"/>
      <c r="B240" s="77" t="n"/>
      <c r="C240" s="77" t="n"/>
      <c r="D240" s="77" t="n"/>
      <c r="E240" s="77" t="n"/>
    </row>
    <row r="241" ht="15.75" customHeight="1" s="360">
      <c r="A241" s="77" t="n"/>
      <c r="B241" s="77" t="n"/>
      <c r="C241" s="77" t="n"/>
      <c r="D241" s="77" t="n"/>
      <c r="E241" s="77" t="n"/>
    </row>
    <row r="242" ht="15.75" customHeight="1" s="360">
      <c r="A242" s="77" t="n"/>
      <c r="B242" s="77" t="n"/>
      <c r="C242" s="77" t="n"/>
      <c r="D242" s="77" t="n"/>
      <c r="E242" s="77" t="n"/>
    </row>
    <row r="243" ht="15.75" customHeight="1" s="360">
      <c r="A243" s="77" t="n"/>
      <c r="B243" s="77" t="n"/>
      <c r="C243" s="77" t="n"/>
      <c r="D243" s="77" t="n"/>
      <c r="E243" s="77" t="n"/>
    </row>
    <row r="244" ht="15.75" customHeight="1" s="360">
      <c r="A244" s="77" t="n"/>
      <c r="B244" s="77" t="n"/>
      <c r="C244" s="77" t="n"/>
      <c r="D244" s="77" t="n"/>
      <c r="E244" s="77" t="n"/>
    </row>
    <row r="245" ht="15.75" customHeight="1" s="360">
      <c r="A245" s="77" t="n"/>
      <c r="B245" s="77" t="n"/>
      <c r="C245" s="77" t="n"/>
      <c r="D245" s="77" t="n"/>
      <c r="E245" s="77" t="n"/>
    </row>
    <row r="246" ht="15.75" customHeight="1" s="360">
      <c r="A246" s="77" t="n"/>
      <c r="B246" s="77" t="n"/>
      <c r="C246" s="77" t="n"/>
      <c r="D246" s="77" t="n"/>
      <c r="E246" s="77" t="n"/>
    </row>
    <row r="247" ht="15.75" customHeight="1" s="360">
      <c r="A247" s="77" t="n"/>
      <c r="B247" s="77" t="n"/>
      <c r="C247" s="77" t="n"/>
      <c r="D247" s="77" t="n"/>
      <c r="E247" s="77" t="n"/>
    </row>
    <row r="248" ht="15.75" customHeight="1" s="360">
      <c r="A248" s="77" t="n"/>
      <c r="B248" s="77" t="n"/>
      <c r="C248" s="77" t="n"/>
      <c r="D248" s="77" t="n"/>
      <c r="E248" s="77" t="n"/>
    </row>
    <row r="249" ht="15.75" customHeight="1" s="360">
      <c r="A249" s="77" t="n"/>
      <c r="B249" s="77" t="n"/>
      <c r="C249" s="77" t="n"/>
      <c r="D249" s="77" t="n"/>
      <c r="E249" s="77" t="n"/>
    </row>
    <row r="250" ht="15.75" customHeight="1" s="360">
      <c r="A250" s="77" t="n"/>
      <c r="B250" s="77" t="n"/>
      <c r="C250" s="77" t="n"/>
      <c r="D250" s="77" t="n"/>
      <c r="E250" s="77" t="n"/>
    </row>
    <row r="251" ht="15.75" customHeight="1" s="360">
      <c r="A251" s="77" t="n"/>
      <c r="B251" s="77" t="n"/>
      <c r="C251" s="77" t="n"/>
      <c r="D251" s="77" t="n"/>
      <c r="E251" s="77" t="n"/>
    </row>
    <row r="252" ht="15.75" customHeight="1" s="360">
      <c r="A252" s="77" t="n"/>
      <c r="B252" s="77" t="n"/>
      <c r="C252" s="77" t="n"/>
      <c r="D252" s="77" t="n"/>
      <c r="E252" s="77" t="n"/>
    </row>
    <row r="253" ht="15.75" customHeight="1" s="360">
      <c r="A253" s="77" t="n"/>
      <c r="B253" s="77" t="n"/>
      <c r="C253" s="77" t="n"/>
      <c r="D253" s="77" t="n"/>
      <c r="E253" s="77" t="n"/>
    </row>
    <row r="254" ht="15.75" customHeight="1" s="360">
      <c r="A254" s="77" t="n"/>
      <c r="B254" s="77" t="n"/>
      <c r="C254" s="77" t="n"/>
      <c r="D254" s="77" t="n"/>
      <c r="E254" s="77" t="n"/>
    </row>
    <row r="255" ht="15.75" customHeight="1" s="360">
      <c r="A255" s="77" t="n"/>
      <c r="B255" s="77" t="n"/>
      <c r="C255" s="77" t="n"/>
      <c r="D255" s="77" t="n"/>
      <c r="E255" s="77" t="n"/>
    </row>
    <row r="256" ht="15.75" customHeight="1" s="360">
      <c r="A256" s="77" t="n"/>
      <c r="B256" s="77" t="n"/>
      <c r="C256" s="77" t="n"/>
      <c r="D256" s="77" t="n"/>
      <c r="E256" s="77" t="n"/>
    </row>
    <row r="257" ht="15.75" customHeight="1" s="360">
      <c r="A257" s="77" t="n"/>
      <c r="B257" s="77" t="n"/>
      <c r="C257" s="77" t="n"/>
      <c r="D257" s="77" t="n"/>
      <c r="E257" s="77" t="n"/>
    </row>
    <row r="258" ht="15.75" customHeight="1" s="360">
      <c r="A258" s="77" t="n"/>
      <c r="B258" s="77" t="n"/>
      <c r="C258" s="77" t="n"/>
      <c r="D258" s="77" t="n"/>
      <c r="E258" s="77" t="n"/>
    </row>
    <row r="259" ht="15.75" customHeight="1" s="360">
      <c r="A259" s="77" t="n"/>
      <c r="B259" s="77" t="n"/>
      <c r="C259" s="77" t="n"/>
      <c r="D259" s="77" t="n"/>
      <c r="E259" s="77" t="n"/>
    </row>
    <row r="260" ht="15.75" customHeight="1" s="360">
      <c r="A260" s="77" t="n"/>
      <c r="B260" s="77" t="n"/>
      <c r="C260" s="77" t="n"/>
      <c r="D260" s="77" t="n"/>
      <c r="E260" s="77" t="n"/>
    </row>
    <row r="261" ht="15.75" customHeight="1" s="360">
      <c r="A261" s="77" t="n"/>
      <c r="B261" s="77" t="n"/>
      <c r="C261" s="77" t="n"/>
      <c r="D261" s="77" t="n"/>
      <c r="E261" s="77" t="n"/>
    </row>
    <row r="262" ht="15.75" customHeight="1" s="360">
      <c r="A262" s="77" t="n"/>
      <c r="B262" s="77" t="n"/>
      <c r="C262" s="77" t="n"/>
      <c r="D262" s="77" t="n"/>
      <c r="E262" s="77" t="n"/>
    </row>
    <row r="263" ht="15.75" customHeight="1" s="360">
      <c r="A263" s="77" t="n"/>
      <c r="B263" s="77" t="n"/>
      <c r="C263" s="77" t="n"/>
      <c r="D263" s="77" t="n"/>
      <c r="E263" s="77" t="n"/>
    </row>
    <row r="264" ht="15.75" customHeight="1" s="360">
      <c r="A264" s="77" t="n"/>
      <c r="B264" s="77" t="n"/>
      <c r="C264" s="77" t="n"/>
      <c r="D264" s="77" t="n"/>
      <c r="E264" s="77" t="n"/>
    </row>
    <row r="265" ht="15.75" customHeight="1" s="360">
      <c r="A265" s="77" t="n"/>
      <c r="B265" s="77" t="n"/>
      <c r="C265" s="77" t="n"/>
      <c r="D265" s="77" t="n"/>
      <c r="E265" s="77" t="n"/>
    </row>
    <row r="266" ht="15.75" customHeight="1" s="360">
      <c r="A266" s="77" t="n"/>
      <c r="B266" s="77" t="n"/>
      <c r="C266" s="77" t="n"/>
      <c r="D266" s="77" t="n"/>
      <c r="E266" s="77" t="n"/>
    </row>
    <row r="267" ht="15.75" customHeight="1" s="360">
      <c r="A267" s="77" t="n"/>
      <c r="B267" s="77" t="n"/>
      <c r="C267" s="77" t="n"/>
      <c r="D267" s="77" t="n"/>
      <c r="E267" s="77" t="n"/>
    </row>
    <row r="268" ht="15.75" customHeight="1" s="360">
      <c r="A268" s="77" t="n"/>
      <c r="B268" s="77" t="n"/>
      <c r="C268" s="77" t="n"/>
      <c r="D268" s="77" t="n"/>
      <c r="E268" s="77" t="n"/>
    </row>
    <row r="269" ht="15.75" customHeight="1" s="360">
      <c r="A269" s="77" t="n"/>
      <c r="B269" s="77" t="n"/>
      <c r="C269" s="77" t="n"/>
      <c r="D269" s="77" t="n"/>
      <c r="E269" s="77" t="n"/>
    </row>
    <row r="270" ht="15.75" customHeight="1" s="360">
      <c r="A270" s="77" t="n"/>
      <c r="B270" s="77" t="n"/>
      <c r="C270" s="77" t="n"/>
      <c r="D270" s="77" t="n"/>
      <c r="E270" s="77" t="n"/>
    </row>
    <row r="271" ht="15.75" customHeight="1" s="360">
      <c r="A271" s="77" t="n"/>
      <c r="B271" s="77" t="n"/>
      <c r="C271" s="77" t="n"/>
      <c r="D271" s="77" t="n"/>
      <c r="E271" s="77" t="n"/>
    </row>
    <row r="272" ht="15.75" customHeight="1" s="360">
      <c r="A272" s="77" t="n"/>
      <c r="B272" s="77" t="n"/>
      <c r="C272" s="77" t="n"/>
      <c r="D272" s="77" t="n"/>
      <c r="E272" s="77" t="n"/>
    </row>
    <row r="273" ht="15.75" customHeight="1" s="360">
      <c r="A273" s="77" t="n"/>
      <c r="B273" s="77" t="n"/>
      <c r="C273" s="77" t="n"/>
      <c r="D273" s="77" t="n"/>
      <c r="E273" s="77" t="n"/>
    </row>
    <row r="274" ht="15.75" customHeight="1" s="360">
      <c r="A274" s="77" t="n"/>
      <c r="B274" s="77" t="n"/>
      <c r="C274" s="77" t="n"/>
      <c r="D274" s="77" t="n"/>
      <c r="E274" s="77" t="n"/>
    </row>
    <row r="275" ht="15.75" customHeight="1" s="360">
      <c r="A275" s="77" t="n"/>
      <c r="B275" s="77" t="n"/>
      <c r="C275" s="77" t="n"/>
      <c r="D275" s="77" t="n"/>
      <c r="E275" s="77" t="n"/>
    </row>
    <row r="276" ht="15.75" customHeight="1" s="360">
      <c r="A276" s="77" t="n"/>
      <c r="B276" s="77" t="n"/>
      <c r="C276" s="77" t="n"/>
      <c r="D276" s="77" t="n"/>
      <c r="E276" s="77" t="n"/>
    </row>
    <row r="277" ht="15.75" customHeight="1" s="360">
      <c r="A277" s="77" t="n"/>
      <c r="B277" s="77" t="n"/>
      <c r="C277" s="77" t="n"/>
      <c r="D277" s="77" t="n"/>
      <c r="E277" s="77" t="n"/>
    </row>
    <row r="278" ht="15.75" customHeight="1" s="360">
      <c r="A278" s="77" t="n"/>
      <c r="B278" s="77" t="n"/>
      <c r="C278" s="77" t="n"/>
      <c r="D278" s="77" t="n"/>
      <c r="E278" s="77" t="n"/>
    </row>
    <row r="279" ht="15.75" customHeight="1" s="360">
      <c r="A279" s="77" t="n"/>
      <c r="B279" s="77" t="n"/>
      <c r="C279" s="77" t="n"/>
      <c r="D279" s="77" t="n"/>
      <c r="E279" s="77" t="n"/>
    </row>
    <row r="280" ht="15.75" customHeight="1" s="360">
      <c r="A280" s="77" t="n"/>
      <c r="B280" s="77" t="n"/>
      <c r="C280" s="77" t="n"/>
      <c r="D280" s="77" t="n"/>
      <c r="E280" s="77" t="n"/>
    </row>
    <row r="281" ht="15.75" customHeight="1" s="360">
      <c r="A281" s="77" t="n"/>
      <c r="B281" s="77" t="n"/>
      <c r="C281" s="77" t="n"/>
      <c r="D281" s="77" t="n"/>
      <c r="E281" s="77" t="n"/>
    </row>
    <row r="282" ht="15.75" customHeight="1" s="360">
      <c r="A282" s="77" t="n"/>
      <c r="B282" s="77" t="n"/>
      <c r="C282" s="77" t="n"/>
      <c r="D282" s="77" t="n"/>
      <c r="E282" s="77" t="n"/>
    </row>
    <row r="283" ht="15.75" customHeight="1" s="360">
      <c r="A283" s="77" t="n"/>
      <c r="B283" s="77" t="n"/>
      <c r="C283" s="77" t="n"/>
      <c r="D283" s="77" t="n"/>
      <c r="E283" s="77" t="n"/>
    </row>
    <row r="284" ht="15.75" customHeight="1" s="360">
      <c r="A284" s="77" t="n"/>
      <c r="B284" s="77" t="n"/>
      <c r="C284" s="77" t="n"/>
      <c r="D284" s="77" t="n"/>
      <c r="E284" s="77" t="n"/>
    </row>
    <row r="285" ht="15.75" customHeight="1" s="360">
      <c r="A285" s="77" t="n"/>
      <c r="B285" s="77" t="n"/>
      <c r="C285" s="77" t="n"/>
      <c r="D285" s="77" t="n"/>
      <c r="E285" s="77" t="n"/>
    </row>
    <row r="286" ht="15.75" customHeight="1" s="360">
      <c r="A286" s="77" t="n"/>
      <c r="B286" s="77" t="n"/>
      <c r="C286" s="77" t="n"/>
      <c r="D286" s="77" t="n"/>
      <c r="E286" s="77" t="n"/>
    </row>
    <row r="287" ht="15.75" customHeight="1" s="360">
      <c r="A287" s="77" t="n"/>
      <c r="B287" s="77" t="n"/>
      <c r="C287" s="77" t="n"/>
      <c r="D287" s="77" t="n"/>
      <c r="E287" s="77" t="n"/>
    </row>
    <row r="288" ht="15.75" customHeight="1" s="360">
      <c r="A288" s="77" t="n"/>
      <c r="B288" s="77" t="n"/>
      <c r="C288" s="77" t="n"/>
      <c r="D288" s="77" t="n"/>
      <c r="E288" s="77" t="n"/>
    </row>
    <row r="289" ht="15.75" customHeight="1" s="360">
      <c r="A289" s="77" t="n"/>
      <c r="B289" s="77" t="n"/>
      <c r="C289" s="77" t="n"/>
      <c r="D289" s="77" t="n"/>
      <c r="E289" s="77" t="n"/>
    </row>
    <row r="290" ht="15.75" customHeight="1" s="360">
      <c r="A290" s="77" t="n"/>
      <c r="B290" s="77" t="n"/>
      <c r="C290" s="77" t="n"/>
      <c r="D290" s="77" t="n"/>
      <c r="E290" s="77" t="n"/>
    </row>
    <row r="291" ht="15.75" customHeight="1" s="360">
      <c r="A291" s="77" t="n"/>
      <c r="B291" s="77" t="n"/>
      <c r="C291" s="77" t="n"/>
      <c r="D291" s="77" t="n"/>
      <c r="E291" s="77" t="n"/>
    </row>
    <row r="292" ht="15.75" customHeight="1" s="360">
      <c r="A292" s="77" t="n"/>
      <c r="B292" s="77" t="n"/>
      <c r="C292" s="77" t="n"/>
      <c r="D292" s="77" t="n"/>
      <c r="E292" s="77" t="n"/>
    </row>
    <row r="293" ht="15.75" customHeight="1" s="360">
      <c r="A293" s="77" t="n"/>
      <c r="B293" s="77" t="n"/>
      <c r="C293" s="77" t="n"/>
      <c r="D293" s="77" t="n"/>
      <c r="E293" s="77" t="n"/>
    </row>
    <row r="294" ht="15.75" customHeight="1" s="360">
      <c r="A294" s="77" t="n"/>
      <c r="B294" s="77" t="n"/>
      <c r="C294" s="77" t="n"/>
      <c r="D294" s="77" t="n"/>
      <c r="E294" s="77" t="n"/>
    </row>
    <row r="295" ht="15.75" customHeight="1" s="360">
      <c r="A295" s="77" t="n"/>
      <c r="B295" s="77" t="n"/>
      <c r="C295" s="77" t="n"/>
      <c r="D295" s="77" t="n"/>
      <c r="E295" s="77" t="n"/>
    </row>
    <row r="296" ht="15.75" customHeight="1" s="360">
      <c r="A296" s="77" t="n"/>
      <c r="B296" s="77" t="n"/>
      <c r="C296" s="77" t="n"/>
      <c r="D296" s="77" t="n"/>
      <c r="E296" s="77" t="n"/>
    </row>
    <row r="297" ht="15.75" customHeight="1" s="360">
      <c r="A297" s="77" t="n"/>
      <c r="B297" s="77" t="n"/>
      <c r="C297" s="77" t="n"/>
      <c r="D297" s="77" t="n"/>
      <c r="E297" s="77" t="n"/>
    </row>
    <row r="298" ht="15.75" customHeight="1" s="360">
      <c r="A298" s="77" t="n"/>
      <c r="B298" s="77" t="n"/>
      <c r="C298" s="77" t="n"/>
      <c r="D298" s="77" t="n"/>
      <c r="E298" s="77" t="n"/>
    </row>
    <row r="299" ht="15.75" customHeight="1" s="360">
      <c r="A299" s="77" t="n"/>
      <c r="B299" s="77" t="n"/>
      <c r="C299" s="77" t="n"/>
      <c r="D299" s="77" t="n"/>
      <c r="E299" s="77" t="n"/>
    </row>
    <row r="300" ht="15.75" customHeight="1" s="360">
      <c r="A300" s="77" t="n"/>
      <c r="B300" s="77" t="n"/>
      <c r="C300" s="77" t="n"/>
      <c r="D300" s="77" t="n"/>
      <c r="E300" s="77" t="n"/>
    </row>
    <row r="301" ht="15.75" customHeight="1" s="360">
      <c r="A301" s="77" t="n"/>
      <c r="B301" s="77" t="n"/>
      <c r="C301" s="77" t="n"/>
      <c r="D301" s="77" t="n"/>
      <c r="E301" s="77" t="n"/>
    </row>
    <row r="302" ht="15.75" customHeight="1" s="360">
      <c r="A302" s="77" t="n"/>
      <c r="B302" s="77" t="n"/>
      <c r="C302" s="77" t="n"/>
      <c r="D302" s="77" t="n"/>
      <c r="E302" s="77" t="n"/>
    </row>
    <row r="303" ht="15.75" customHeight="1" s="360">
      <c r="A303" s="77" t="n"/>
      <c r="B303" s="77" t="n"/>
      <c r="C303" s="77" t="n"/>
      <c r="D303" s="77" t="n"/>
      <c r="E303" s="77" t="n"/>
    </row>
    <row r="304" ht="15.75" customHeight="1" s="360">
      <c r="A304" s="77" t="n"/>
      <c r="B304" s="77" t="n"/>
      <c r="C304" s="77" t="n"/>
      <c r="D304" s="77" t="n"/>
      <c r="E304" s="77" t="n"/>
    </row>
    <row r="305" ht="15.75" customHeight="1" s="360">
      <c r="A305" s="77" t="n"/>
      <c r="B305" s="77" t="n"/>
      <c r="C305" s="77" t="n"/>
      <c r="D305" s="77" t="n"/>
      <c r="E305" s="77" t="n"/>
    </row>
    <row r="306" ht="15.75" customHeight="1" s="360">
      <c r="A306" s="77" t="n"/>
      <c r="B306" s="77" t="n"/>
      <c r="C306" s="77" t="n"/>
      <c r="D306" s="77" t="n"/>
      <c r="E306" s="77" t="n"/>
    </row>
    <row r="307" ht="15.75" customHeight="1" s="360">
      <c r="A307" s="77" t="n"/>
      <c r="B307" s="77" t="n"/>
      <c r="C307" s="77" t="n"/>
      <c r="D307" s="77" t="n"/>
      <c r="E307" s="77" t="n"/>
    </row>
    <row r="308" ht="15.75" customHeight="1" s="360">
      <c r="A308" s="77" t="n"/>
      <c r="B308" s="77" t="n"/>
      <c r="C308" s="77" t="n"/>
      <c r="D308" s="77" t="n"/>
      <c r="E308" s="77" t="n"/>
    </row>
    <row r="309" ht="15.75" customHeight="1" s="360">
      <c r="A309" s="77" t="n"/>
      <c r="B309" s="77" t="n"/>
      <c r="C309" s="77" t="n"/>
      <c r="D309" s="77" t="n"/>
      <c r="E309" s="77" t="n"/>
    </row>
    <row r="310" ht="15.75" customHeight="1" s="360">
      <c r="A310" s="77" t="n"/>
      <c r="B310" s="77" t="n"/>
      <c r="C310" s="77" t="n"/>
      <c r="D310" s="77" t="n"/>
      <c r="E310" s="77" t="n"/>
    </row>
    <row r="311" ht="15.75" customHeight="1" s="360">
      <c r="A311" s="77" t="n"/>
      <c r="B311" s="77" t="n"/>
      <c r="C311" s="77" t="n"/>
      <c r="D311" s="77" t="n"/>
      <c r="E311" s="77" t="n"/>
    </row>
    <row r="312" ht="15.75" customHeight="1" s="360">
      <c r="A312" s="77" t="n"/>
      <c r="B312" s="77" t="n"/>
      <c r="C312" s="77" t="n"/>
      <c r="D312" s="77" t="n"/>
      <c r="E312" s="77" t="n"/>
    </row>
    <row r="313" ht="15.75" customHeight="1" s="360">
      <c r="A313" s="77" t="n"/>
      <c r="B313" s="77" t="n"/>
      <c r="C313" s="77" t="n"/>
      <c r="D313" s="77" t="n"/>
      <c r="E313" s="77" t="n"/>
    </row>
    <row r="314" ht="15.75" customHeight="1" s="360">
      <c r="A314" s="77" t="n"/>
      <c r="B314" s="77" t="n"/>
      <c r="C314" s="77" t="n"/>
      <c r="D314" s="77" t="n"/>
      <c r="E314" s="77" t="n"/>
    </row>
    <row r="315" ht="15.75" customHeight="1" s="360">
      <c r="A315" s="77" t="n"/>
      <c r="B315" s="77" t="n"/>
      <c r="C315" s="77" t="n"/>
      <c r="D315" s="77" t="n"/>
      <c r="E315" s="77" t="n"/>
    </row>
    <row r="316" ht="15.75" customHeight="1" s="360">
      <c r="A316" s="77" t="n"/>
      <c r="B316" s="77" t="n"/>
      <c r="C316" s="77" t="n"/>
      <c r="D316" s="77" t="n"/>
      <c r="E316" s="77" t="n"/>
    </row>
    <row r="317" ht="15.75" customHeight="1" s="360">
      <c r="A317" s="77" t="n"/>
      <c r="B317" s="77" t="n"/>
      <c r="C317" s="77" t="n"/>
      <c r="D317" s="77" t="n"/>
      <c r="E317" s="77" t="n"/>
    </row>
    <row r="318" ht="15.75" customHeight="1" s="360">
      <c r="A318" s="77" t="n"/>
      <c r="B318" s="77" t="n"/>
      <c r="C318" s="77" t="n"/>
      <c r="D318" s="77" t="n"/>
      <c r="E318" s="77" t="n"/>
    </row>
    <row r="319" ht="15.75" customHeight="1" s="360">
      <c r="A319" s="77" t="n"/>
      <c r="B319" s="77" t="n"/>
      <c r="C319" s="77" t="n"/>
      <c r="D319" s="77" t="n"/>
      <c r="E319" s="77" t="n"/>
    </row>
    <row r="320" ht="15.75" customHeight="1" s="360">
      <c r="A320" s="77" t="n"/>
      <c r="B320" s="77" t="n"/>
      <c r="C320" s="77" t="n"/>
      <c r="D320" s="77" t="n"/>
      <c r="E320" s="77" t="n"/>
    </row>
    <row r="321" ht="15.75" customHeight="1" s="360">
      <c r="A321" s="77" t="n"/>
      <c r="B321" s="77" t="n"/>
      <c r="C321" s="77" t="n"/>
      <c r="D321" s="77" t="n"/>
      <c r="E321" s="77" t="n"/>
    </row>
    <row r="322" ht="15.75" customHeight="1" s="360">
      <c r="A322" s="77" t="n"/>
      <c r="B322" s="77" t="n"/>
      <c r="C322" s="77" t="n"/>
      <c r="D322" s="77" t="n"/>
      <c r="E322" s="77" t="n"/>
    </row>
    <row r="323" ht="15.75" customHeight="1" s="360">
      <c r="A323" s="77" t="n"/>
      <c r="B323" s="77" t="n"/>
      <c r="C323" s="77" t="n"/>
      <c r="D323" s="77" t="n"/>
      <c r="E323" s="77" t="n"/>
    </row>
    <row r="324" ht="15.75" customHeight="1" s="360">
      <c r="A324" s="77" t="n"/>
      <c r="B324" s="77" t="n"/>
      <c r="C324" s="77" t="n"/>
      <c r="D324" s="77" t="n"/>
      <c r="E324" s="77" t="n"/>
    </row>
    <row r="325" ht="15.75" customHeight="1" s="360">
      <c r="A325" s="77" t="n"/>
      <c r="B325" s="77" t="n"/>
      <c r="C325" s="77" t="n"/>
      <c r="D325" s="77" t="n"/>
      <c r="E325" s="77" t="n"/>
    </row>
    <row r="326" ht="15.75" customHeight="1" s="360">
      <c r="A326" s="77" t="n"/>
      <c r="B326" s="77" t="n"/>
      <c r="C326" s="77" t="n"/>
      <c r="D326" s="77" t="n"/>
      <c r="E326" s="77" t="n"/>
    </row>
    <row r="327" ht="15.75" customHeight="1" s="360">
      <c r="A327" s="77" t="n"/>
      <c r="B327" s="77" t="n"/>
      <c r="C327" s="77" t="n"/>
      <c r="D327" s="77" t="n"/>
      <c r="E327" s="77" t="n"/>
    </row>
    <row r="328" ht="15.75" customHeight="1" s="360">
      <c r="A328" s="77" t="n"/>
      <c r="B328" s="77" t="n"/>
      <c r="C328" s="77" t="n"/>
      <c r="D328" s="77" t="n"/>
      <c r="E328" s="77" t="n"/>
    </row>
    <row r="329" ht="15.75" customHeight="1" s="360">
      <c r="A329" s="77" t="n"/>
      <c r="B329" s="77" t="n"/>
      <c r="C329" s="77" t="n"/>
      <c r="D329" s="77" t="n"/>
      <c r="E329" s="77" t="n"/>
    </row>
    <row r="330" ht="15.75" customHeight="1" s="360">
      <c r="A330" s="77" t="n"/>
      <c r="B330" s="77" t="n"/>
      <c r="C330" s="77" t="n"/>
      <c r="D330" s="77" t="n"/>
      <c r="E330" s="77" t="n"/>
    </row>
    <row r="331" ht="15.75" customHeight="1" s="360">
      <c r="A331" s="77" t="n"/>
      <c r="B331" s="77" t="n"/>
      <c r="C331" s="77" t="n"/>
      <c r="D331" s="77" t="n"/>
      <c r="E331" s="77" t="n"/>
    </row>
    <row r="332" ht="15.75" customHeight="1" s="360">
      <c r="A332" s="77" t="n"/>
      <c r="B332" s="77" t="n"/>
      <c r="C332" s="77" t="n"/>
      <c r="D332" s="77" t="n"/>
      <c r="E332" s="77" t="n"/>
    </row>
    <row r="333" ht="15.75" customHeight="1" s="360">
      <c r="A333" s="77" t="n"/>
      <c r="B333" s="77" t="n"/>
      <c r="C333" s="77" t="n"/>
      <c r="D333" s="77" t="n"/>
      <c r="E333" s="77" t="n"/>
    </row>
    <row r="334" ht="15.75" customHeight="1" s="360">
      <c r="A334" s="77" t="n"/>
      <c r="B334" s="77" t="n"/>
      <c r="C334" s="77" t="n"/>
      <c r="D334" s="77" t="n"/>
      <c r="E334" s="77" t="n"/>
    </row>
    <row r="335" ht="15.75" customHeight="1" s="360">
      <c r="A335" s="77" t="n"/>
      <c r="B335" s="77" t="n"/>
      <c r="C335" s="77" t="n"/>
      <c r="D335" s="77" t="n"/>
      <c r="E335" s="77" t="n"/>
    </row>
    <row r="336" ht="15.75" customHeight="1" s="360">
      <c r="A336" s="77" t="n"/>
      <c r="B336" s="77" t="n"/>
      <c r="C336" s="77" t="n"/>
      <c r="D336" s="77" t="n"/>
      <c r="E336" s="77" t="n"/>
    </row>
    <row r="337" ht="15.75" customHeight="1" s="360">
      <c r="A337" s="77" t="n"/>
      <c r="B337" s="77" t="n"/>
      <c r="C337" s="77" t="n"/>
      <c r="D337" s="77" t="n"/>
      <c r="E337" s="77" t="n"/>
    </row>
    <row r="338" ht="15.75" customHeight="1" s="360">
      <c r="A338" s="77" t="n"/>
      <c r="B338" s="77" t="n"/>
      <c r="C338" s="77" t="n"/>
      <c r="D338" s="77" t="n"/>
      <c r="E338" s="77" t="n"/>
    </row>
    <row r="339" ht="15.75" customHeight="1" s="360">
      <c r="A339" s="77" t="n"/>
      <c r="B339" s="77" t="n"/>
      <c r="C339" s="77" t="n"/>
      <c r="D339" s="77" t="n"/>
      <c r="E339" s="77" t="n"/>
    </row>
    <row r="340" ht="15.75" customHeight="1" s="360">
      <c r="A340" s="77" t="n"/>
      <c r="B340" s="77" t="n"/>
      <c r="C340" s="77" t="n"/>
      <c r="D340" s="77" t="n"/>
      <c r="E340" s="77" t="n"/>
    </row>
    <row r="341" ht="15.75" customHeight="1" s="360">
      <c r="A341" s="77" t="n"/>
      <c r="B341" s="77" t="n"/>
      <c r="C341" s="77" t="n"/>
      <c r="D341" s="77" t="n"/>
      <c r="E341" s="77" t="n"/>
    </row>
    <row r="342" ht="15.75" customHeight="1" s="360">
      <c r="A342" s="77" t="n"/>
      <c r="B342" s="77" t="n"/>
      <c r="C342" s="77" t="n"/>
      <c r="D342" s="77" t="n"/>
      <c r="E342" s="77" t="n"/>
    </row>
    <row r="343" ht="15.75" customHeight="1" s="360">
      <c r="A343" s="77" t="n"/>
      <c r="B343" s="77" t="n"/>
      <c r="C343" s="77" t="n"/>
      <c r="D343" s="77" t="n"/>
      <c r="E343" s="77" t="n"/>
    </row>
    <row r="344" ht="15.75" customHeight="1" s="360">
      <c r="A344" s="77" t="n"/>
      <c r="B344" s="77" t="n"/>
      <c r="C344" s="77" t="n"/>
      <c r="D344" s="77" t="n"/>
      <c r="E344" s="77" t="n"/>
    </row>
    <row r="345" ht="15.75" customHeight="1" s="360">
      <c r="A345" s="77" t="n"/>
      <c r="B345" s="77" t="n"/>
      <c r="C345" s="77" t="n"/>
      <c r="D345" s="77" t="n"/>
      <c r="E345" s="77" t="n"/>
    </row>
    <row r="346" ht="15.75" customHeight="1" s="360">
      <c r="A346" s="77" t="n"/>
      <c r="B346" s="77" t="n"/>
      <c r="C346" s="77" t="n"/>
      <c r="D346" s="77" t="n"/>
      <c r="E346" s="77" t="n"/>
    </row>
    <row r="347" ht="15.75" customHeight="1" s="360">
      <c r="A347" s="77" t="n"/>
      <c r="B347" s="77" t="n"/>
      <c r="C347" s="77" t="n"/>
      <c r="D347" s="77" t="n"/>
      <c r="E347" s="77" t="n"/>
    </row>
    <row r="348" ht="15.75" customHeight="1" s="360">
      <c r="A348" s="77" t="n"/>
      <c r="B348" s="77" t="n"/>
      <c r="C348" s="77" t="n"/>
      <c r="D348" s="77" t="n"/>
      <c r="E348" s="77" t="n"/>
    </row>
    <row r="349" ht="15.75" customHeight="1" s="360">
      <c r="A349" s="77" t="n"/>
      <c r="B349" s="77" t="n"/>
      <c r="C349" s="77" t="n"/>
      <c r="D349" s="77" t="n"/>
      <c r="E349" s="77" t="n"/>
    </row>
    <row r="350" ht="15.75" customHeight="1" s="360">
      <c r="A350" s="77" t="n"/>
      <c r="B350" s="77" t="n"/>
      <c r="C350" s="77" t="n"/>
      <c r="D350" s="77" t="n"/>
      <c r="E350" s="77" t="n"/>
    </row>
    <row r="351" ht="15.75" customHeight="1" s="360">
      <c r="A351" s="77" t="n"/>
      <c r="B351" s="77" t="n"/>
      <c r="C351" s="77" t="n"/>
      <c r="D351" s="77" t="n"/>
      <c r="E351" s="77" t="n"/>
    </row>
    <row r="352" ht="15.75" customHeight="1" s="360">
      <c r="A352" s="77" t="n"/>
      <c r="B352" s="77" t="n"/>
      <c r="C352" s="77" t="n"/>
      <c r="D352" s="77" t="n"/>
      <c r="E352" s="77" t="n"/>
    </row>
    <row r="353" ht="15.75" customHeight="1" s="360">
      <c r="A353" s="77" t="n"/>
      <c r="B353" s="77" t="n"/>
      <c r="C353" s="77" t="n"/>
      <c r="D353" s="77" t="n"/>
      <c r="E353" s="77" t="n"/>
    </row>
    <row r="354" ht="15.75" customHeight="1" s="360">
      <c r="A354" s="77" t="n"/>
      <c r="B354" s="77" t="n"/>
      <c r="C354" s="77" t="n"/>
      <c r="D354" s="77" t="n"/>
      <c r="E354" s="77" t="n"/>
    </row>
    <row r="355" ht="15.75" customHeight="1" s="360">
      <c r="A355" s="77" t="n"/>
      <c r="B355" s="77" t="n"/>
      <c r="C355" s="77" t="n"/>
      <c r="D355" s="77" t="n"/>
      <c r="E355" s="77" t="n"/>
    </row>
    <row r="356" ht="15.75" customHeight="1" s="360">
      <c r="A356" s="77" t="n"/>
      <c r="B356" s="77" t="n"/>
      <c r="C356" s="77" t="n"/>
      <c r="D356" s="77" t="n"/>
      <c r="E356" s="77" t="n"/>
    </row>
    <row r="357" ht="15.75" customHeight="1" s="360">
      <c r="A357" s="77" t="n"/>
      <c r="B357" s="77" t="n"/>
      <c r="C357" s="77" t="n"/>
      <c r="D357" s="77" t="n"/>
      <c r="E357" s="77" t="n"/>
    </row>
    <row r="358" ht="15.75" customHeight="1" s="360">
      <c r="A358" s="77" t="n"/>
      <c r="B358" s="77" t="n"/>
      <c r="C358" s="77" t="n"/>
      <c r="D358" s="77" t="n"/>
      <c r="E358" s="77" t="n"/>
    </row>
    <row r="359" ht="15.75" customHeight="1" s="360">
      <c r="A359" s="77" t="n"/>
      <c r="B359" s="77" t="n"/>
      <c r="C359" s="77" t="n"/>
      <c r="D359" s="77" t="n"/>
      <c r="E359" s="77" t="n"/>
    </row>
    <row r="360" ht="15.75" customHeight="1" s="360">
      <c r="A360" s="77" t="n"/>
      <c r="B360" s="77" t="n"/>
      <c r="C360" s="77" t="n"/>
      <c r="D360" s="77" t="n"/>
      <c r="E360" s="77" t="n"/>
    </row>
    <row r="361" ht="15.75" customHeight="1" s="360">
      <c r="A361" s="77" t="n"/>
      <c r="B361" s="77" t="n"/>
      <c r="C361" s="77" t="n"/>
      <c r="D361" s="77" t="n"/>
      <c r="E361" s="77" t="n"/>
    </row>
    <row r="362" ht="15.75" customHeight="1" s="360">
      <c r="A362" s="77" t="n"/>
      <c r="B362" s="77" t="n"/>
      <c r="C362" s="77" t="n"/>
      <c r="D362" s="77" t="n"/>
      <c r="E362" s="77" t="n"/>
    </row>
    <row r="363" ht="15.75" customHeight="1" s="360">
      <c r="A363" s="77" t="n"/>
      <c r="B363" s="77" t="n"/>
      <c r="C363" s="77" t="n"/>
      <c r="D363" s="77" t="n"/>
      <c r="E363" s="77" t="n"/>
    </row>
    <row r="364" ht="15.75" customHeight="1" s="360">
      <c r="A364" s="77" t="n"/>
      <c r="B364" s="77" t="n"/>
      <c r="C364" s="77" t="n"/>
      <c r="D364" s="77" t="n"/>
      <c r="E364" s="77" t="n"/>
    </row>
    <row r="365" ht="15.75" customHeight="1" s="360">
      <c r="A365" s="77" t="n"/>
      <c r="B365" s="77" t="n"/>
      <c r="C365" s="77" t="n"/>
      <c r="D365" s="77" t="n"/>
      <c r="E365" s="77" t="n"/>
    </row>
    <row r="366" ht="15.75" customHeight="1" s="360">
      <c r="A366" s="77" t="n"/>
      <c r="B366" s="77" t="n"/>
      <c r="C366" s="77" t="n"/>
      <c r="D366" s="77" t="n"/>
      <c r="E366" s="77" t="n"/>
    </row>
    <row r="367" ht="15.75" customHeight="1" s="360">
      <c r="A367" s="77" t="n"/>
      <c r="B367" s="77" t="n"/>
      <c r="C367" s="77" t="n"/>
      <c r="D367" s="77" t="n"/>
      <c r="E367" s="77" t="n"/>
    </row>
    <row r="368" ht="15.75" customHeight="1" s="360">
      <c r="A368" s="77" t="n"/>
      <c r="B368" s="77" t="n"/>
      <c r="C368" s="77" t="n"/>
      <c r="D368" s="77" t="n"/>
      <c r="E368" s="77" t="n"/>
    </row>
    <row r="369" ht="15.75" customHeight="1" s="360">
      <c r="A369" s="77" t="n"/>
      <c r="B369" s="77" t="n"/>
      <c r="C369" s="77" t="n"/>
      <c r="D369" s="77" t="n"/>
      <c r="E369" s="77" t="n"/>
    </row>
    <row r="370" ht="15.75" customHeight="1" s="360">
      <c r="A370" s="77" t="n"/>
      <c r="B370" s="77" t="n"/>
      <c r="C370" s="77" t="n"/>
      <c r="D370" s="77" t="n"/>
      <c r="E370" s="77" t="n"/>
    </row>
    <row r="371" ht="15.75" customHeight="1" s="360">
      <c r="A371" s="77" t="n"/>
      <c r="B371" s="77" t="n"/>
      <c r="C371" s="77" t="n"/>
      <c r="D371" s="77" t="n"/>
      <c r="E371" s="77" t="n"/>
    </row>
    <row r="372" ht="15.75" customHeight="1" s="360">
      <c r="A372" s="77" t="n"/>
      <c r="B372" s="77" t="n"/>
      <c r="C372" s="77" t="n"/>
      <c r="D372" s="77" t="n"/>
      <c r="E372" s="77" t="n"/>
    </row>
    <row r="373" ht="15.75" customHeight="1" s="360">
      <c r="A373" s="77" t="n"/>
      <c r="B373" s="77" t="n"/>
      <c r="C373" s="77" t="n"/>
      <c r="D373" s="77" t="n"/>
      <c r="E373" s="77" t="n"/>
    </row>
    <row r="374" ht="15.75" customHeight="1" s="360">
      <c r="A374" s="77" t="n"/>
      <c r="B374" s="77" t="n"/>
      <c r="C374" s="77" t="n"/>
      <c r="D374" s="77" t="n"/>
      <c r="E374" s="77" t="n"/>
    </row>
    <row r="375" ht="15.75" customHeight="1" s="360">
      <c r="A375" s="77" t="n"/>
      <c r="B375" s="77" t="n"/>
      <c r="C375" s="77" t="n"/>
      <c r="D375" s="77" t="n"/>
      <c r="E375" s="77" t="n"/>
    </row>
    <row r="376" ht="15.75" customHeight="1" s="360">
      <c r="A376" s="77" t="n"/>
      <c r="B376" s="77" t="n"/>
      <c r="C376" s="77" t="n"/>
      <c r="D376" s="77" t="n"/>
      <c r="E376" s="77" t="n"/>
    </row>
    <row r="377" ht="15.75" customHeight="1" s="360">
      <c r="A377" s="77" t="n"/>
      <c r="B377" s="77" t="n"/>
      <c r="C377" s="77" t="n"/>
      <c r="D377" s="77" t="n"/>
      <c r="E377" s="77" t="n"/>
    </row>
    <row r="378" ht="15.75" customHeight="1" s="360">
      <c r="A378" s="77" t="n"/>
      <c r="B378" s="77" t="n"/>
      <c r="C378" s="77" t="n"/>
      <c r="D378" s="77" t="n"/>
      <c r="E378" s="77" t="n"/>
    </row>
    <row r="379" ht="15.75" customHeight="1" s="360">
      <c r="A379" s="77" t="n"/>
      <c r="B379" s="77" t="n"/>
      <c r="C379" s="77" t="n"/>
      <c r="D379" s="77" t="n"/>
      <c r="E379" s="77" t="n"/>
    </row>
    <row r="380" ht="15.75" customHeight="1" s="360">
      <c r="A380" s="77" t="n"/>
      <c r="B380" s="77" t="n"/>
      <c r="C380" s="77" t="n"/>
      <c r="D380" s="77" t="n"/>
      <c r="E380" s="77" t="n"/>
    </row>
    <row r="381" ht="15.75" customHeight="1" s="360">
      <c r="A381" s="77" t="n"/>
      <c r="B381" s="77" t="n"/>
      <c r="C381" s="77" t="n"/>
      <c r="D381" s="77" t="n"/>
      <c r="E381" s="77" t="n"/>
    </row>
    <row r="382" ht="15.75" customHeight="1" s="360">
      <c r="A382" s="77" t="n"/>
      <c r="B382" s="77" t="n"/>
      <c r="C382" s="77" t="n"/>
      <c r="D382" s="77" t="n"/>
      <c r="E382" s="77" t="n"/>
    </row>
    <row r="383" ht="15.75" customHeight="1" s="360">
      <c r="A383" s="77" t="n"/>
      <c r="B383" s="77" t="n"/>
      <c r="C383" s="77" t="n"/>
      <c r="D383" s="77" t="n"/>
      <c r="E383" s="77" t="n"/>
    </row>
    <row r="384" ht="15.75" customHeight="1" s="360">
      <c r="A384" s="77" t="n"/>
      <c r="B384" s="77" t="n"/>
      <c r="C384" s="77" t="n"/>
      <c r="D384" s="77" t="n"/>
      <c r="E384" s="77" t="n"/>
    </row>
    <row r="385" ht="15.75" customHeight="1" s="360">
      <c r="A385" s="77" t="n"/>
      <c r="B385" s="77" t="n"/>
      <c r="C385" s="77" t="n"/>
      <c r="D385" s="77" t="n"/>
      <c r="E385" s="77" t="n"/>
    </row>
    <row r="386" ht="15.75" customHeight="1" s="360">
      <c r="A386" s="77" t="n"/>
      <c r="B386" s="77" t="n"/>
      <c r="C386" s="77" t="n"/>
      <c r="D386" s="77" t="n"/>
      <c r="E386" s="77" t="n"/>
    </row>
    <row r="387" ht="15.75" customHeight="1" s="360">
      <c r="A387" s="77" t="n"/>
      <c r="B387" s="77" t="n"/>
      <c r="C387" s="77" t="n"/>
      <c r="D387" s="77" t="n"/>
      <c r="E387" s="77" t="n"/>
    </row>
    <row r="388" ht="15.75" customHeight="1" s="360">
      <c r="A388" s="77" t="n"/>
      <c r="B388" s="77" t="n"/>
      <c r="C388" s="77" t="n"/>
      <c r="D388" s="77" t="n"/>
      <c r="E388" s="77" t="n"/>
    </row>
    <row r="389" ht="15.75" customHeight="1" s="360">
      <c r="A389" s="77" t="n"/>
      <c r="B389" s="77" t="n"/>
      <c r="C389" s="77" t="n"/>
      <c r="D389" s="77" t="n"/>
      <c r="E389" s="77" t="n"/>
    </row>
    <row r="390" ht="15.75" customHeight="1" s="360">
      <c r="A390" s="77" t="n"/>
      <c r="B390" s="77" t="n"/>
      <c r="C390" s="77" t="n"/>
      <c r="D390" s="77" t="n"/>
      <c r="E390" s="77" t="n"/>
    </row>
    <row r="391" ht="15.75" customHeight="1" s="360">
      <c r="A391" s="77" t="n"/>
      <c r="B391" s="77" t="n"/>
      <c r="C391" s="77" t="n"/>
      <c r="D391" s="77" t="n"/>
      <c r="E391" s="77" t="n"/>
    </row>
    <row r="392" ht="15.75" customHeight="1" s="360">
      <c r="A392" s="77" t="n"/>
      <c r="B392" s="77" t="n"/>
      <c r="C392" s="77" t="n"/>
      <c r="D392" s="77" t="n"/>
      <c r="E392" s="77" t="n"/>
    </row>
    <row r="393" ht="15.75" customHeight="1" s="360">
      <c r="A393" s="77" t="n"/>
      <c r="B393" s="77" t="n"/>
      <c r="C393" s="77" t="n"/>
      <c r="D393" s="77" t="n"/>
      <c r="E393" s="77" t="n"/>
    </row>
    <row r="394" ht="15.75" customHeight="1" s="360">
      <c r="A394" s="77" t="n"/>
      <c r="B394" s="77" t="n"/>
      <c r="C394" s="77" t="n"/>
      <c r="D394" s="77" t="n"/>
      <c r="E394" s="77" t="n"/>
    </row>
    <row r="395" ht="15.75" customHeight="1" s="360">
      <c r="A395" s="77" t="n"/>
      <c r="B395" s="77" t="n"/>
      <c r="C395" s="77" t="n"/>
      <c r="D395" s="77" t="n"/>
      <c r="E395" s="77" t="n"/>
    </row>
    <row r="396" ht="15.75" customHeight="1" s="360">
      <c r="A396" s="77" t="n"/>
      <c r="B396" s="77" t="n"/>
      <c r="C396" s="77" t="n"/>
      <c r="D396" s="77" t="n"/>
      <c r="E396" s="77" t="n"/>
    </row>
    <row r="397" ht="15.75" customHeight="1" s="360">
      <c r="A397" s="77" t="n"/>
      <c r="B397" s="77" t="n"/>
      <c r="C397" s="77" t="n"/>
      <c r="D397" s="77" t="n"/>
      <c r="E397" s="77" t="n"/>
    </row>
    <row r="398" ht="15.75" customHeight="1" s="360">
      <c r="A398" s="77" t="n"/>
      <c r="B398" s="77" t="n"/>
      <c r="C398" s="77" t="n"/>
      <c r="D398" s="77" t="n"/>
      <c r="E398" s="77" t="n"/>
    </row>
    <row r="399" ht="15.75" customHeight="1" s="360">
      <c r="A399" s="77" t="n"/>
      <c r="B399" s="77" t="n"/>
      <c r="C399" s="77" t="n"/>
      <c r="D399" s="77" t="n"/>
      <c r="E399" s="77" t="n"/>
    </row>
    <row r="400" ht="15.75" customHeight="1" s="360">
      <c r="A400" s="77" t="n"/>
      <c r="B400" s="77" t="n"/>
      <c r="C400" s="77" t="n"/>
      <c r="D400" s="77" t="n"/>
      <c r="E400" s="77" t="n"/>
    </row>
    <row r="401" ht="15.75" customHeight="1" s="360">
      <c r="A401" s="77" t="n"/>
      <c r="B401" s="77" t="n"/>
      <c r="C401" s="77" t="n"/>
      <c r="D401" s="77" t="n"/>
      <c r="E401" s="77" t="n"/>
    </row>
    <row r="402" ht="15.75" customHeight="1" s="360">
      <c r="A402" s="77" t="n"/>
      <c r="B402" s="77" t="n"/>
      <c r="C402" s="77" t="n"/>
      <c r="D402" s="77" t="n"/>
      <c r="E402" s="77" t="n"/>
    </row>
    <row r="403" ht="15.75" customHeight="1" s="360">
      <c r="A403" s="77" t="n"/>
      <c r="B403" s="77" t="n"/>
      <c r="C403" s="77" t="n"/>
      <c r="D403" s="77" t="n"/>
      <c r="E403" s="77" t="n"/>
    </row>
    <row r="404" ht="15.75" customHeight="1" s="360">
      <c r="A404" s="77" t="n"/>
      <c r="B404" s="77" t="n"/>
      <c r="C404" s="77" t="n"/>
      <c r="D404" s="77" t="n"/>
      <c r="E404" s="77" t="n"/>
    </row>
    <row r="405" ht="15.75" customHeight="1" s="360">
      <c r="A405" s="77" t="n"/>
      <c r="B405" s="77" t="n"/>
      <c r="C405" s="77" t="n"/>
      <c r="D405" s="77" t="n"/>
      <c r="E405" s="77" t="n"/>
    </row>
    <row r="406" ht="15.75" customHeight="1" s="360">
      <c r="A406" s="77" t="n"/>
      <c r="B406" s="77" t="n"/>
      <c r="C406" s="77" t="n"/>
      <c r="D406" s="77" t="n"/>
      <c r="E406" s="77" t="n"/>
    </row>
    <row r="407" ht="15.75" customHeight="1" s="360">
      <c r="A407" s="77" t="n"/>
      <c r="B407" s="77" t="n"/>
      <c r="C407" s="77" t="n"/>
      <c r="D407" s="77" t="n"/>
      <c r="E407" s="77" t="n"/>
    </row>
    <row r="408" ht="15.75" customHeight="1" s="360">
      <c r="A408" s="77" t="n"/>
      <c r="B408" s="77" t="n"/>
      <c r="C408" s="77" t="n"/>
      <c r="D408" s="77" t="n"/>
      <c r="E408" s="77" t="n"/>
    </row>
    <row r="409" ht="15.75" customHeight="1" s="360">
      <c r="A409" s="77" t="n"/>
      <c r="B409" s="77" t="n"/>
      <c r="C409" s="77" t="n"/>
      <c r="D409" s="77" t="n"/>
      <c r="E409" s="77" t="n"/>
    </row>
    <row r="410" ht="15.75" customHeight="1" s="360">
      <c r="A410" s="77" t="n"/>
      <c r="B410" s="77" t="n"/>
      <c r="C410" s="77" t="n"/>
      <c r="D410" s="77" t="n"/>
      <c r="E410" s="77" t="n"/>
    </row>
    <row r="411" ht="15.75" customHeight="1" s="360">
      <c r="A411" s="77" t="n"/>
      <c r="B411" s="77" t="n"/>
      <c r="C411" s="77" t="n"/>
      <c r="D411" s="77" t="n"/>
      <c r="E411" s="77" t="n"/>
    </row>
    <row r="412" ht="15.75" customHeight="1" s="360">
      <c r="A412" s="77" t="n"/>
      <c r="B412" s="77" t="n"/>
      <c r="C412" s="77" t="n"/>
      <c r="D412" s="77" t="n"/>
      <c r="E412" s="77" t="n"/>
    </row>
    <row r="413" ht="15.75" customHeight="1" s="360">
      <c r="A413" s="77" t="n"/>
      <c r="B413" s="77" t="n"/>
      <c r="C413" s="77" t="n"/>
      <c r="D413" s="77" t="n"/>
      <c r="E413" s="77" t="n"/>
    </row>
    <row r="414" ht="15.75" customHeight="1" s="360">
      <c r="A414" s="77" t="n"/>
      <c r="B414" s="77" t="n"/>
      <c r="C414" s="77" t="n"/>
      <c r="D414" s="77" t="n"/>
      <c r="E414" s="77" t="n"/>
    </row>
    <row r="415" ht="15.75" customHeight="1" s="360">
      <c r="A415" s="77" t="n"/>
      <c r="B415" s="77" t="n"/>
      <c r="C415" s="77" t="n"/>
      <c r="D415" s="77" t="n"/>
      <c r="E415" s="77" t="n"/>
    </row>
    <row r="416" ht="15.75" customHeight="1" s="360">
      <c r="A416" s="77" t="n"/>
      <c r="B416" s="77" t="n"/>
      <c r="C416" s="77" t="n"/>
      <c r="D416" s="77" t="n"/>
      <c r="E416" s="77" t="n"/>
    </row>
    <row r="417" ht="15.75" customHeight="1" s="360">
      <c r="A417" s="77" t="n"/>
      <c r="B417" s="77" t="n"/>
      <c r="C417" s="77" t="n"/>
      <c r="D417" s="77" t="n"/>
      <c r="E417" s="77" t="n"/>
    </row>
    <row r="418" ht="15.75" customHeight="1" s="360">
      <c r="A418" s="77" t="n"/>
      <c r="B418" s="77" t="n"/>
      <c r="C418" s="77" t="n"/>
      <c r="D418" s="77" t="n"/>
      <c r="E418" s="77" t="n"/>
    </row>
    <row r="419" ht="15.75" customHeight="1" s="360">
      <c r="A419" s="77" t="n"/>
      <c r="B419" s="77" t="n"/>
      <c r="C419" s="77" t="n"/>
      <c r="D419" s="77" t="n"/>
      <c r="E419" s="77" t="n"/>
    </row>
    <row r="420" ht="15.75" customHeight="1" s="360">
      <c r="A420" s="77" t="n"/>
      <c r="B420" s="77" t="n"/>
      <c r="C420" s="77" t="n"/>
      <c r="D420" s="77" t="n"/>
      <c r="E420" s="77" t="n"/>
    </row>
    <row r="421" ht="15.75" customHeight="1" s="360">
      <c r="A421" s="77" t="n"/>
      <c r="B421" s="77" t="n"/>
      <c r="C421" s="77" t="n"/>
      <c r="D421" s="77" t="n"/>
      <c r="E421" s="77" t="n"/>
    </row>
    <row r="422" ht="15.75" customHeight="1" s="360">
      <c r="A422" s="77" t="n"/>
      <c r="B422" s="77" t="n"/>
      <c r="C422" s="77" t="n"/>
      <c r="D422" s="77" t="n"/>
      <c r="E422" s="77" t="n"/>
    </row>
    <row r="423" ht="15.75" customHeight="1" s="360">
      <c r="A423" s="77" t="n"/>
      <c r="B423" s="77" t="n"/>
      <c r="C423" s="77" t="n"/>
      <c r="D423" s="77" t="n"/>
      <c r="E423" s="77" t="n"/>
    </row>
    <row r="424" ht="15.75" customHeight="1" s="360">
      <c r="A424" s="77" t="n"/>
      <c r="B424" s="77" t="n"/>
      <c r="C424" s="77" t="n"/>
      <c r="D424" s="77" t="n"/>
      <c r="E424" s="77" t="n"/>
    </row>
    <row r="425" ht="15.75" customHeight="1" s="360">
      <c r="A425" s="77" t="n"/>
      <c r="B425" s="77" t="n"/>
      <c r="C425" s="77" t="n"/>
      <c r="D425" s="77" t="n"/>
      <c r="E425" s="77" t="n"/>
    </row>
    <row r="426" ht="15.75" customHeight="1" s="360">
      <c r="A426" s="77" t="n"/>
      <c r="B426" s="77" t="n"/>
      <c r="C426" s="77" t="n"/>
      <c r="D426" s="77" t="n"/>
      <c r="E426" s="77" t="n"/>
    </row>
    <row r="427" ht="15.75" customHeight="1" s="360">
      <c r="A427" s="77" t="n"/>
      <c r="B427" s="77" t="n"/>
      <c r="C427" s="77" t="n"/>
      <c r="D427" s="77" t="n"/>
      <c r="E427" s="77" t="n"/>
    </row>
    <row r="428" ht="15.75" customHeight="1" s="360">
      <c r="A428" s="77" t="n"/>
      <c r="B428" s="77" t="n"/>
      <c r="C428" s="77" t="n"/>
      <c r="D428" s="77" t="n"/>
      <c r="E428" s="77" t="n"/>
    </row>
    <row r="429" ht="15.75" customHeight="1" s="360">
      <c r="A429" s="77" t="n"/>
      <c r="B429" s="77" t="n"/>
      <c r="C429" s="77" t="n"/>
      <c r="D429" s="77" t="n"/>
      <c r="E429" s="77" t="n"/>
    </row>
    <row r="430" ht="15.75" customHeight="1" s="360">
      <c r="A430" s="77" t="n"/>
      <c r="B430" s="77" t="n"/>
      <c r="C430" s="77" t="n"/>
      <c r="D430" s="77" t="n"/>
      <c r="E430" s="77" t="n"/>
    </row>
    <row r="431" ht="15.75" customHeight="1" s="360">
      <c r="A431" s="77" t="n"/>
      <c r="B431" s="77" t="n"/>
      <c r="C431" s="77" t="n"/>
      <c r="D431" s="77" t="n"/>
      <c r="E431" s="77" t="n"/>
    </row>
    <row r="432" ht="15.75" customHeight="1" s="360">
      <c r="A432" s="77" t="n"/>
      <c r="B432" s="77" t="n"/>
      <c r="C432" s="77" t="n"/>
      <c r="D432" s="77" t="n"/>
      <c r="E432" s="77" t="n"/>
    </row>
    <row r="433" ht="15.75" customHeight="1" s="360">
      <c r="A433" s="77" t="n"/>
      <c r="B433" s="77" t="n"/>
      <c r="C433" s="77" t="n"/>
      <c r="D433" s="77" t="n"/>
      <c r="E433" s="77" t="n"/>
    </row>
    <row r="434" ht="15.75" customHeight="1" s="360">
      <c r="A434" s="77" t="n"/>
      <c r="B434" s="77" t="n"/>
      <c r="C434" s="77" t="n"/>
      <c r="D434" s="77" t="n"/>
      <c r="E434" s="77" t="n"/>
    </row>
    <row r="435" ht="15.75" customHeight="1" s="360">
      <c r="A435" s="77" t="n"/>
      <c r="B435" s="77" t="n"/>
      <c r="C435" s="77" t="n"/>
      <c r="D435" s="77" t="n"/>
      <c r="E435" s="77" t="n"/>
    </row>
    <row r="436" ht="15.75" customHeight="1" s="360">
      <c r="A436" s="77" t="n"/>
      <c r="B436" s="77" t="n"/>
      <c r="C436" s="77" t="n"/>
      <c r="D436" s="77" t="n"/>
      <c r="E436" s="77" t="n"/>
    </row>
    <row r="437" ht="15.75" customHeight="1" s="360">
      <c r="A437" s="77" t="n"/>
      <c r="B437" s="77" t="n"/>
      <c r="C437" s="77" t="n"/>
      <c r="D437" s="77" t="n"/>
      <c r="E437" s="77" t="n"/>
    </row>
    <row r="438" ht="15.75" customHeight="1" s="360">
      <c r="A438" s="77" t="n"/>
      <c r="B438" s="77" t="n"/>
      <c r="C438" s="77" t="n"/>
      <c r="D438" s="77" t="n"/>
      <c r="E438" s="77" t="n"/>
    </row>
    <row r="439" ht="15.75" customHeight="1" s="360">
      <c r="A439" s="77" t="n"/>
      <c r="B439" s="77" t="n"/>
      <c r="C439" s="77" t="n"/>
      <c r="D439" s="77" t="n"/>
      <c r="E439" s="77" t="n"/>
    </row>
    <row r="440" ht="15.75" customHeight="1" s="360">
      <c r="A440" s="77" t="n"/>
      <c r="B440" s="77" t="n"/>
      <c r="C440" s="77" t="n"/>
      <c r="D440" s="77" t="n"/>
      <c r="E440" s="77" t="n"/>
    </row>
    <row r="441" ht="15.75" customHeight="1" s="360">
      <c r="A441" s="77" t="n"/>
      <c r="B441" s="77" t="n"/>
      <c r="C441" s="77" t="n"/>
      <c r="D441" s="77" t="n"/>
      <c r="E441" s="77" t="n"/>
    </row>
    <row r="442" ht="15.75" customHeight="1" s="360">
      <c r="A442" s="77" t="n"/>
      <c r="B442" s="77" t="n"/>
      <c r="C442" s="77" t="n"/>
      <c r="D442" s="77" t="n"/>
      <c r="E442" s="77" t="n"/>
    </row>
    <row r="443" ht="15.75" customHeight="1" s="360">
      <c r="A443" s="77" t="n"/>
      <c r="B443" s="77" t="n"/>
      <c r="C443" s="77" t="n"/>
      <c r="D443" s="77" t="n"/>
      <c r="E443" s="77" t="n"/>
    </row>
    <row r="444" ht="15.75" customHeight="1" s="360">
      <c r="A444" s="77" t="n"/>
      <c r="B444" s="77" t="n"/>
      <c r="C444" s="77" t="n"/>
      <c r="D444" s="77" t="n"/>
      <c r="E444" s="77" t="n"/>
    </row>
    <row r="445" ht="15.75" customHeight="1" s="360">
      <c r="A445" s="77" t="n"/>
      <c r="B445" s="77" t="n"/>
      <c r="C445" s="77" t="n"/>
      <c r="D445" s="77" t="n"/>
      <c r="E445" s="77" t="n"/>
    </row>
    <row r="446" ht="15.75" customHeight="1" s="360">
      <c r="A446" s="77" t="n"/>
      <c r="B446" s="77" t="n"/>
      <c r="C446" s="77" t="n"/>
      <c r="D446" s="77" t="n"/>
      <c r="E446" s="77" t="n"/>
    </row>
    <row r="447" ht="15.75" customHeight="1" s="360">
      <c r="A447" s="77" t="n"/>
      <c r="B447" s="77" t="n"/>
      <c r="C447" s="77" t="n"/>
      <c r="D447" s="77" t="n"/>
      <c r="E447" s="77" t="n"/>
    </row>
    <row r="448" ht="15.75" customHeight="1" s="360">
      <c r="A448" s="77" t="n"/>
      <c r="B448" s="77" t="n"/>
      <c r="C448" s="77" t="n"/>
      <c r="D448" s="77" t="n"/>
      <c r="E448" s="77" t="n"/>
    </row>
    <row r="449" ht="15.75" customHeight="1" s="360">
      <c r="A449" s="77" t="n"/>
      <c r="B449" s="77" t="n"/>
      <c r="C449" s="77" t="n"/>
      <c r="D449" s="77" t="n"/>
      <c r="E449" s="77" t="n"/>
    </row>
    <row r="450" ht="15.75" customHeight="1" s="360">
      <c r="A450" s="77" t="n"/>
      <c r="B450" s="77" t="n"/>
      <c r="C450" s="77" t="n"/>
      <c r="D450" s="77" t="n"/>
      <c r="E450" s="77" t="n"/>
    </row>
    <row r="451" ht="15.75" customHeight="1" s="360">
      <c r="A451" s="77" t="n"/>
      <c r="B451" s="77" t="n"/>
      <c r="C451" s="77" t="n"/>
      <c r="D451" s="77" t="n"/>
      <c r="E451" s="77" t="n"/>
    </row>
    <row r="452" ht="15.75" customHeight="1" s="360">
      <c r="A452" s="77" t="n"/>
      <c r="B452" s="77" t="n"/>
      <c r="C452" s="77" t="n"/>
      <c r="D452" s="77" t="n"/>
      <c r="E452" s="77" t="n"/>
    </row>
    <row r="453" ht="15.75" customHeight="1" s="360">
      <c r="A453" s="77" t="n"/>
      <c r="B453" s="77" t="n"/>
      <c r="C453" s="77" t="n"/>
      <c r="D453" s="77" t="n"/>
      <c r="E453" s="77" t="n"/>
    </row>
    <row r="454" ht="15.75" customHeight="1" s="360">
      <c r="A454" s="77" t="n"/>
      <c r="B454" s="77" t="n"/>
      <c r="C454" s="77" t="n"/>
      <c r="D454" s="77" t="n"/>
      <c r="E454" s="77" t="n"/>
    </row>
    <row r="455" ht="15.75" customHeight="1" s="360">
      <c r="A455" s="77" t="n"/>
      <c r="B455" s="77" t="n"/>
      <c r="C455" s="77" t="n"/>
      <c r="D455" s="77" t="n"/>
      <c r="E455" s="77" t="n"/>
    </row>
    <row r="456" ht="15.75" customHeight="1" s="360">
      <c r="A456" s="77" t="n"/>
      <c r="B456" s="77" t="n"/>
      <c r="C456" s="77" t="n"/>
      <c r="D456" s="77" t="n"/>
      <c r="E456" s="77" t="n"/>
    </row>
    <row r="457" ht="15.75" customHeight="1" s="360">
      <c r="A457" s="77" t="n"/>
      <c r="B457" s="77" t="n"/>
      <c r="C457" s="77" t="n"/>
      <c r="D457" s="77" t="n"/>
      <c r="E457" s="77" t="n"/>
    </row>
    <row r="458" ht="15.75" customHeight="1" s="360">
      <c r="A458" s="77" t="n"/>
      <c r="B458" s="77" t="n"/>
      <c r="C458" s="77" t="n"/>
      <c r="D458" s="77" t="n"/>
      <c r="E458" s="77" t="n"/>
    </row>
    <row r="459" ht="15.75" customHeight="1" s="360">
      <c r="A459" s="77" t="n"/>
      <c r="B459" s="77" t="n"/>
      <c r="C459" s="77" t="n"/>
      <c r="D459" s="77" t="n"/>
      <c r="E459" s="77" t="n"/>
    </row>
    <row r="460" ht="15.75" customHeight="1" s="360">
      <c r="A460" s="77" t="n"/>
      <c r="B460" s="77" t="n"/>
      <c r="C460" s="77" t="n"/>
      <c r="D460" s="77" t="n"/>
      <c r="E460" s="77" t="n"/>
    </row>
    <row r="461" ht="15.75" customHeight="1" s="360">
      <c r="A461" s="77" t="n"/>
      <c r="B461" s="77" t="n"/>
      <c r="C461" s="77" t="n"/>
      <c r="D461" s="77" t="n"/>
      <c r="E461" s="77" t="n"/>
    </row>
    <row r="462" ht="15.75" customHeight="1" s="360">
      <c r="A462" s="77" t="n"/>
      <c r="B462" s="77" t="n"/>
      <c r="C462" s="77" t="n"/>
      <c r="D462" s="77" t="n"/>
      <c r="E462" s="77" t="n"/>
    </row>
    <row r="463" ht="15.75" customHeight="1" s="360">
      <c r="A463" s="77" t="n"/>
      <c r="B463" s="77" t="n"/>
      <c r="C463" s="77" t="n"/>
      <c r="D463" s="77" t="n"/>
      <c r="E463" s="77" t="n"/>
    </row>
    <row r="464" ht="15.75" customHeight="1" s="360">
      <c r="A464" s="77" t="n"/>
      <c r="B464" s="77" t="n"/>
      <c r="C464" s="77" t="n"/>
      <c r="D464" s="77" t="n"/>
      <c r="E464" s="77" t="n"/>
    </row>
    <row r="465" ht="15.75" customHeight="1" s="360">
      <c r="A465" s="77" t="n"/>
      <c r="B465" s="77" t="n"/>
      <c r="C465" s="77" t="n"/>
      <c r="D465" s="77" t="n"/>
      <c r="E465" s="77" t="n"/>
    </row>
    <row r="466" ht="15.75" customHeight="1" s="360">
      <c r="A466" s="77" t="n"/>
      <c r="B466" s="77" t="n"/>
      <c r="C466" s="77" t="n"/>
      <c r="D466" s="77" t="n"/>
      <c r="E466" s="77" t="n"/>
    </row>
    <row r="467" ht="15.75" customHeight="1" s="360">
      <c r="A467" s="77" t="n"/>
      <c r="B467" s="77" t="n"/>
      <c r="C467" s="77" t="n"/>
      <c r="D467" s="77" t="n"/>
      <c r="E467" s="77" t="n"/>
    </row>
    <row r="468" ht="15.75" customHeight="1" s="360">
      <c r="A468" s="77" t="n"/>
      <c r="B468" s="77" t="n"/>
      <c r="C468" s="77" t="n"/>
      <c r="D468" s="77" t="n"/>
      <c r="E468" s="77" t="n"/>
    </row>
    <row r="469" ht="15.75" customHeight="1" s="360">
      <c r="A469" s="77" t="n"/>
      <c r="B469" s="77" t="n"/>
      <c r="C469" s="77" t="n"/>
      <c r="D469" s="77" t="n"/>
      <c r="E469" s="77" t="n"/>
    </row>
    <row r="470" ht="15.75" customHeight="1" s="360">
      <c r="A470" s="77" t="n"/>
      <c r="B470" s="77" t="n"/>
      <c r="C470" s="77" t="n"/>
      <c r="D470" s="77" t="n"/>
      <c r="E470" s="77" t="n"/>
    </row>
    <row r="471" ht="15.75" customHeight="1" s="360">
      <c r="A471" s="77" t="n"/>
      <c r="B471" s="77" t="n"/>
      <c r="C471" s="77" t="n"/>
      <c r="D471" s="77" t="n"/>
      <c r="E471" s="77" t="n"/>
    </row>
    <row r="472" ht="15.75" customHeight="1" s="360">
      <c r="A472" s="77" t="n"/>
      <c r="B472" s="77" t="n"/>
      <c r="C472" s="77" t="n"/>
      <c r="D472" s="77" t="n"/>
      <c r="E472" s="77" t="n"/>
    </row>
    <row r="473" ht="15.75" customHeight="1" s="360">
      <c r="A473" s="77" t="n"/>
      <c r="B473" s="77" t="n"/>
      <c r="C473" s="77" t="n"/>
      <c r="D473" s="77" t="n"/>
      <c r="E473" s="77" t="n"/>
    </row>
    <row r="474" ht="15.75" customHeight="1" s="360">
      <c r="A474" s="77" t="n"/>
      <c r="B474" s="77" t="n"/>
      <c r="C474" s="77" t="n"/>
      <c r="D474" s="77" t="n"/>
      <c r="E474" s="77" t="n"/>
    </row>
    <row r="475" ht="15.75" customHeight="1" s="360">
      <c r="A475" s="77" t="n"/>
      <c r="B475" s="77" t="n"/>
      <c r="C475" s="77" t="n"/>
      <c r="D475" s="77" t="n"/>
      <c r="E475" s="77" t="n"/>
    </row>
    <row r="476" ht="15.75" customHeight="1" s="360">
      <c r="A476" s="77" t="n"/>
      <c r="B476" s="77" t="n"/>
      <c r="C476" s="77" t="n"/>
      <c r="D476" s="77" t="n"/>
      <c r="E476" s="77" t="n"/>
    </row>
    <row r="477" ht="15.75" customHeight="1" s="360">
      <c r="A477" s="77" t="n"/>
      <c r="B477" s="77" t="n"/>
      <c r="C477" s="77" t="n"/>
      <c r="D477" s="77" t="n"/>
      <c r="E477" s="77" t="n"/>
    </row>
    <row r="478" ht="15.75" customHeight="1" s="360">
      <c r="A478" s="77" t="n"/>
      <c r="B478" s="77" t="n"/>
      <c r="C478" s="77" t="n"/>
      <c r="D478" s="77" t="n"/>
      <c r="E478" s="77" t="n"/>
    </row>
    <row r="479" ht="15.75" customHeight="1" s="360">
      <c r="A479" s="77" t="n"/>
      <c r="B479" s="77" t="n"/>
      <c r="C479" s="77" t="n"/>
      <c r="D479" s="77" t="n"/>
      <c r="E479" s="77" t="n"/>
    </row>
    <row r="480" ht="15.75" customHeight="1" s="360">
      <c r="A480" s="77" t="n"/>
      <c r="B480" s="77" t="n"/>
      <c r="C480" s="77" t="n"/>
      <c r="D480" s="77" t="n"/>
      <c r="E480" s="77" t="n"/>
    </row>
    <row r="481" ht="15.75" customHeight="1" s="360">
      <c r="A481" s="77" t="n"/>
      <c r="B481" s="77" t="n"/>
      <c r="C481" s="77" t="n"/>
      <c r="D481" s="77" t="n"/>
      <c r="E481" s="77" t="n"/>
    </row>
    <row r="482" ht="15.75" customHeight="1" s="360">
      <c r="A482" s="77" t="n"/>
      <c r="B482" s="77" t="n"/>
      <c r="C482" s="77" t="n"/>
      <c r="D482" s="77" t="n"/>
      <c r="E482" s="77" t="n"/>
    </row>
    <row r="483" ht="15.75" customHeight="1" s="360">
      <c r="A483" s="77" t="n"/>
      <c r="B483" s="77" t="n"/>
      <c r="C483" s="77" t="n"/>
      <c r="D483" s="77" t="n"/>
      <c r="E483" s="77" t="n"/>
    </row>
    <row r="484" ht="15.75" customHeight="1" s="360">
      <c r="A484" s="77" t="n"/>
      <c r="B484" s="77" t="n"/>
      <c r="C484" s="77" t="n"/>
      <c r="D484" s="77" t="n"/>
      <c r="E484" s="77" t="n"/>
    </row>
    <row r="485" ht="15.75" customHeight="1" s="360">
      <c r="A485" s="77" t="n"/>
      <c r="B485" s="77" t="n"/>
      <c r="C485" s="77" t="n"/>
      <c r="D485" s="77" t="n"/>
      <c r="E485" s="77" t="n"/>
    </row>
    <row r="486" ht="15.75" customHeight="1" s="360">
      <c r="A486" s="77" t="n"/>
      <c r="B486" s="77" t="n"/>
      <c r="C486" s="77" t="n"/>
      <c r="D486" s="77" t="n"/>
      <c r="E486" s="77" t="n"/>
    </row>
    <row r="487" ht="15.75" customHeight="1" s="360">
      <c r="A487" s="77" t="n"/>
      <c r="B487" s="77" t="n"/>
      <c r="C487" s="77" t="n"/>
      <c r="D487" s="77" t="n"/>
      <c r="E487" s="77" t="n"/>
    </row>
    <row r="488" ht="15.75" customHeight="1" s="360">
      <c r="A488" s="77" t="n"/>
      <c r="B488" s="77" t="n"/>
      <c r="C488" s="77" t="n"/>
      <c r="D488" s="77" t="n"/>
      <c r="E488" s="77" t="n"/>
    </row>
    <row r="489" ht="15.75" customHeight="1" s="360">
      <c r="A489" s="77" t="n"/>
      <c r="B489" s="77" t="n"/>
      <c r="C489" s="77" t="n"/>
      <c r="D489" s="77" t="n"/>
      <c r="E489" s="77" t="n"/>
    </row>
    <row r="490" ht="15.75" customHeight="1" s="360">
      <c r="A490" s="77" t="n"/>
      <c r="B490" s="77" t="n"/>
      <c r="C490" s="77" t="n"/>
      <c r="D490" s="77" t="n"/>
      <c r="E490" s="77" t="n"/>
    </row>
    <row r="491" ht="15.75" customHeight="1" s="360">
      <c r="A491" s="77" t="n"/>
      <c r="B491" s="77" t="n"/>
      <c r="C491" s="77" t="n"/>
      <c r="D491" s="77" t="n"/>
      <c r="E491" s="77" t="n"/>
    </row>
    <row r="492" ht="15.75" customHeight="1" s="360">
      <c r="A492" s="77" t="n"/>
      <c r="B492" s="77" t="n"/>
      <c r="C492" s="77" t="n"/>
      <c r="D492" s="77" t="n"/>
      <c r="E492" s="77" t="n"/>
    </row>
    <row r="493" ht="15.75" customHeight="1" s="360">
      <c r="A493" s="77" t="n"/>
      <c r="B493" s="77" t="n"/>
      <c r="C493" s="77" t="n"/>
      <c r="D493" s="77" t="n"/>
      <c r="E493" s="77" t="n"/>
    </row>
    <row r="494" ht="15.75" customHeight="1" s="360">
      <c r="A494" s="77" t="n"/>
      <c r="B494" s="77" t="n"/>
      <c r="C494" s="77" t="n"/>
      <c r="D494" s="77" t="n"/>
      <c r="E494" s="77" t="n"/>
    </row>
    <row r="495" ht="15.75" customHeight="1" s="360">
      <c r="A495" s="77" t="n"/>
      <c r="B495" s="77" t="n"/>
      <c r="C495" s="77" t="n"/>
      <c r="D495" s="77" t="n"/>
      <c r="E495" s="77" t="n"/>
    </row>
    <row r="496" ht="15.75" customHeight="1" s="360">
      <c r="A496" s="77" t="n"/>
      <c r="B496" s="77" t="n"/>
      <c r="C496" s="77" t="n"/>
      <c r="D496" s="77" t="n"/>
      <c r="E496" s="77" t="n"/>
    </row>
    <row r="497" ht="15.75" customHeight="1" s="360">
      <c r="A497" s="77" t="n"/>
      <c r="B497" s="77" t="n"/>
      <c r="C497" s="77" t="n"/>
      <c r="D497" s="77" t="n"/>
      <c r="E497" s="77" t="n"/>
    </row>
    <row r="498" ht="15.75" customHeight="1" s="360">
      <c r="A498" s="77" t="n"/>
      <c r="B498" s="77" t="n"/>
      <c r="C498" s="77" t="n"/>
      <c r="D498" s="77" t="n"/>
      <c r="E498" s="77" t="n"/>
    </row>
    <row r="499" ht="15.75" customHeight="1" s="360">
      <c r="A499" s="77" t="n"/>
      <c r="B499" s="77" t="n"/>
      <c r="C499" s="77" t="n"/>
      <c r="D499" s="77" t="n"/>
      <c r="E499" s="77" t="n"/>
    </row>
    <row r="500" ht="15.75" customHeight="1" s="360">
      <c r="A500" s="77" t="n"/>
      <c r="B500" s="77" t="n"/>
      <c r="C500" s="77" t="n"/>
      <c r="D500" s="77" t="n"/>
      <c r="E500" s="77" t="n"/>
    </row>
    <row r="501" ht="15.75" customHeight="1" s="360">
      <c r="A501" s="77" t="n"/>
      <c r="B501" s="77" t="n"/>
      <c r="C501" s="77" t="n"/>
      <c r="D501" s="77" t="n"/>
      <c r="E501" s="77" t="n"/>
    </row>
    <row r="502" ht="15.75" customHeight="1" s="360">
      <c r="A502" s="77" t="n"/>
      <c r="B502" s="77" t="n"/>
      <c r="C502" s="77" t="n"/>
      <c r="D502" s="77" t="n"/>
      <c r="E502" s="77" t="n"/>
    </row>
    <row r="503" ht="15.75" customHeight="1" s="360">
      <c r="A503" s="77" t="n"/>
      <c r="B503" s="77" t="n"/>
      <c r="C503" s="77" t="n"/>
      <c r="D503" s="77" t="n"/>
      <c r="E503" s="77" t="n"/>
    </row>
    <row r="504" ht="15.75" customHeight="1" s="360">
      <c r="A504" s="77" t="n"/>
      <c r="B504" s="77" t="n"/>
      <c r="C504" s="77" t="n"/>
      <c r="D504" s="77" t="n"/>
      <c r="E504" s="77" t="n"/>
    </row>
    <row r="505" ht="15.75" customHeight="1" s="360">
      <c r="A505" s="77" t="n"/>
      <c r="B505" s="77" t="n"/>
      <c r="C505" s="77" t="n"/>
      <c r="D505" s="77" t="n"/>
      <c r="E505" s="77" t="n"/>
    </row>
    <row r="506" ht="15.75" customHeight="1" s="360">
      <c r="A506" s="77" t="n"/>
      <c r="B506" s="77" t="n"/>
      <c r="C506" s="77" t="n"/>
      <c r="D506" s="77" t="n"/>
      <c r="E506" s="77" t="n"/>
    </row>
    <row r="507" ht="15.75" customHeight="1" s="360">
      <c r="A507" s="77" t="n"/>
      <c r="B507" s="77" t="n"/>
      <c r="C507" s="77" t="n"/>
      <c r="D507" s="77" t="n"/>
      <c r="E507" s="77" t="n"/>
    </row>
    <row r="508" ht="15.75" customHeight="1" s="360">
      <c r="A508" s="77" t="n"/>
      <c r="B508" s="77" t="n"/>
      <c r="C508" s="77" t="n"/>
      <c r="D508" s="77" t="n"/>
      <c r="E508" s="77" t="n"/>
    </row>
    <row r="509" ht="15.75" customHeight="1" s="360">
      <c r="A509" s="77" t="n"/>
      <c r="B509" s="77" t="n"/>
      <c r="C509" s="77" t="n"/>
      <c r="D509" s="77" t="n"/>
      <c r="E509" s="77" t="n"/>
    </row>
    <row r="510" ht="15.75" customHeight="1" s="360">
      <c r="A510" s="77" t="n"/>
      <c r="B510" s="77" t="n"/>
      <c r="C510" s="77" t="n"/>
      <c r="D510" s="77" t="n"/>
      <c r="E510" s="77" t="n"/>
    </row>
    <row r="511" ht="15.75" customHeight="1" s="360">
      <c r="A511" s="77" t="n"/>
      <c r="B511" s="77" t="n"/>
      <c r="C511" s="77" t="n"/>
      <c r="D511" s="77" t="n"/>
      <c r="E511" s="77" t="n"/>
    </row>
    <row r="512" ht="15.75" customHeight="1" s="360">
      <c r="A512" s="77" t="n"/>
      <c r="B512" s="77" t="n"/>
      <c r="C512" s="77" t="n"/>
      <c r="D512" s="77" t="n"/>
      <c r="E512" s="77" t="n"/>
    </row>
    <row r="513" ht="15.75" customHeight="1" s="360">
      <c r="A513" s="77" t="n"/>
      <c r="B513" s="77" t="n"/>
      <c r="C513" s="77" t="n"/>
      <c r="D513" s="77" t="n"/>
      <c r="E513" s="77" t="n"/>
    </row>
    <row r="514" ht="15.75" customHeight="1" s="360">
      <c r="A514" s="77" t="n"/>
      <c r="B514" s="77" t="n"/>
      <c r="C514" s="77" t="n"/>
      <c r="D514" s="77" t="n"/>
      <c r="E514" s="77" t="n"/>
    </row>
    <row r="515" ht="15.75" customHeight="1" s="360">
      <c r="A515" s="77" t="n"/>
      <c r="B515" s="77" t="n"/>
      <c r="C515" s="77" t="n"/>
      <c r="D515" s="77" t="n"/>
      <c r="E515" s="77" t="n"/>
    </row>
    <row r="516" ht="15.75" customHeight="1" s="360">
      <c r="A516" s="77" t="n"/>
      <c r="B516" s="77" t="n"/>
      <c r="C516" s="77" t="n"/>
      <c r="D516" s="77" t="n"/>
      <c r="E516" s="77" t="n"/>
    </row>
    <row r="517" ht="15.75" customHeight="1" s="360">
      <c r="A517" s="77" t="n"/>
      <c r="B517" s="77" t="n"/>
      <c r="C517" s="77" t="n"/>
      <c r="D517" s="77" t="n"/>
      <c r="E517" s="77" t="n"/>
    </row>
    <row r="518" ht="15.75" customHeight="1" s="360">
      <c r="A518" s="77" t="n"/>
      <c r="B518" s="77" t="n"/>
      <c r="C518" s="77" t="n"/>
      <c r="D518" s="77" t="n"/>
      <c r="E518" s="77" t="n"/>
    </row>
    <row r="519" ht="15.75" customHeight="1" s="360">
      <c r="A519" s="77" t="n"/>
      <c r="B519" s="77" t="n"/>
      <c r="C519" s="77" t="n"/>
      <c r="D519" s="77" t="n"/>
      <c r="E519" s="77" t="n"/>
    </row>
    <row r="520" ht="15.75" customHeight="1" s="360">
      <c r="A520" s="77" t="n"/>
      <c r="B520" s="77" t="n"/>
      <c r="C520" s="77" t="n"/>
      <c r="D520" s="77" t="n"/>
      <c r="E520" s="77" t="n"/>
    </row>
    <row r="521" ht="15.75" customHeight="1" s="360">
      <c r="A521" s="77" t="n"/>
      <c r="B521" s="77" t="n"/>
      <c r="C521" s="77" t="n"/>
      <c r="D521" s="77" t="n"/>
      <c r="E521" s="77" t="n"/>
    </row>
    <row r="522" ht="15.75" customHeight="1" s="360">
      <c r="A522" s="77" t="n"/>
      <c r="B522" s="77" t="n"/>
      <c r="C522" s="77" t="n"/>
      <c r="D522" s="77" t="n"/>
      <c r="E522" s="77" t="n"/>
    </row>
    <row r="523" ht="15.75" customHeight="1" s="360">
      <c r="A523" s="77" t="n"/>
      <c r="B523" s="77" t="n"/>
      <c r="C523" s="77" t="n"/>
      <c r="D523" s="77" t="n"/>
      <c r="E523" s="77" t="n"/>
    </row>
    <row r="524" ht="15.75" customHeight="1" s="360">
      <c r="A524" s="77" t="n"/>
      <c r="B524" s="77" t="n"/>
      <c r="C524" s="77" t="n"/>
      <c r="D524" s="77" t="n"/>
      <c r="E524" s="77" t="n"/>
    </row>
    <row r="525" ht="15.75" customHeight="1" s="360">
      <c r="A525" s="77" t="n"/>
      <c r="B525" s="77" t="n"/>
      <c r="C525" s="77" t="n"/>
      <c r="D525" s="77" t="n"/>
      <c r="E525" s="77" t="n"/>
    </row>
    <row r="526" ht="15.75" customHeight="1" s="360">
      <c r="A526" s="77" t="n"/>
      <c r="B526" s="77" t="n"/>
      <c r="C526" s="77" t="n"/>
      <c r="D526" s="77" t="n"/>
      <c r="E526" s="77" t="n"/>
    </row>
    <row r="527" ht="15.75" customHeight="1" s="360">
      <c r="A527" s="77" t="n"/>
      <c r="B527" s="77" t="n"/>
      <c r="C527" s="77" t="n"/>
      <c r="D527" s="77" t="n"/>
      <c r="E527" s="77" t="n"/>
    </row>
    <row r="528" ht="15.75" customHeight="1" s="360">
      <c r="A528" s="77" t="n"/>
      <c r="B528" s="77" t="n"/>
      <c r="C528" s="77" t="n"/>
      <c r="D528" s="77" t="n"/>
      <c r="E528" s="77" t="n"/>
    </row>
    <row r="529" ht="15.75" customHeight="1" s="360">
      <c r="A529" s="77" t="n"/>
      <c r="B529" s="77" t="n"/>
      <c r="C529" s="77" t="n"/>
      <c r="D529" s="77" t="n"/>
      <c r="E529" s="77" t="n"/>
    </row>
    <row r="530" ht="15.75" customHeight="1" s="360">
      <c r="A530" s="77" t="n"/>
      <c r="B530" s="77" t="n"/>
      <c r="C530" s="77" t="n"/>
      <c r="D530" s="77" t="n"/>
      <c r="E530" s="77" t="n"/>
    </row>
    <row r="531" ht="15.75" customHeight="1" s="360">
      <c r="A531" s="77" t="n"/>
      <c r="B531" s="77" t="n"/>
      <c r="C531" s="77" t="n"/>
      <c r="D531" s="77" t="n"/>
      <c r="E531" s="77" t="n"/>
    </row>
    <row r="532" ht="15.75" customHeight="1" s="360">
      <c r="A532" s="77" t="n"/>
      <c r="B532" s="77" t="n"/>
      <c r="C532" s="77" t="n"/>
      <c r="D532" s="77" t="n"/>
      <c r="E532" s="77" t="n"/>
    </row>
    <row r="533" ht="15.75" customHeight="1" s="360">
      <c r="A533" s="77" t="n"/>
      <c r="B533" s="77" t="n"/>
      <c r="C533" s="77" t="n"/>
      <c r="D533" s="77" t="n"/>
      <c r="E533" s="77" t="n"/>
    </row>
    <row r="534" ht="15.75" customHeight="1" s="360">
      <c r="A534" s="77" t="n"/>
      <c r="B534" s="77" t="n"/>
      <c r="C534" s="77" t="n"/>
      <c r="D534" s="77" t="n"/>
      <c r="E534" s="77" t="n"/>
    </row>
    <row r="535" ht="15.75" customHeight="1" s="360">
      <c r="A535" s="77" t="n"/>
      <c r="B535" s="77" t="n"/>
      <c r="C535" s="77" t="n"/>
      <c r="D535" s="77" t="n"/>
      <c r="E535" s="77" t="n"/>
    </row>
    <row r="536" ht="15.75" customHeight="1" s="360">
      <c r="A536" s="77" t="n"/>
      <c r="B536" s="77" t="n"/>
      <c r="C536" s="77" t="n"/>
      <c r="D536" s="77" t="n"/>
      <c r="E536" s="77" t="n"/>
    </row>
    <row r="537" ht="15.75" customHeight="1" s="360">
      <c r="A537" s="77" t="n"/>
      <c r="B537" s="77" t="n"/>
      <c r="C537" s="77" t="n"/>
      <c r="D537" s="77" t="n"/>
      <c r="E537" s="77" t="n"/>
    </row>
    <row r="538" ht="15.75" customHeight="1" s="360">
      <c r="A538" s="77" t="n"/>
      <c r="B538" s="77" t="n"/>
      <c r="C538" s="77" t="n"/>
      <c r="D538" s="77" t="n"/>
      <c r="E538" s="77" t="n"/>
    </row>
    <row r="539" ht="15.75" customHeight="1" s="360">
      <c r="A539" s="77" t="n"/>
      <c r="B539" s="77" t="n"/>
      <c r="C539" s="77" t="n"/>
      <c r="D539" s="77" t="n"/>
      <c r="E539" s="77" t="n"/>
    </row>
    <row r="540" ht="15.75" customHeight="1" s="360">
      <c r="A540" s="77" t="n"/>
      <c r="B540" s="77" t="n"/>
      <c r="C540" s="77" t="n"/>
      <c r="D540" s="77" t="n"/>
      <c r="E540" s="77" t="n"/>
    </row>
    <row r="541" ht="15.75" customHeight="1" s="360">
      <c r="A541" s="77" t="n"/>
      <c r="B541" s="77" t="n"/>
      <c r="C541" s="77" t="n"/>
      <c r="D541" s="77" t="n"/>
      <c r="E541" s="77" t="n"/>
    </row>
    <row r="542" ht="15.75" customHeight="1" s="360">
      <c r="A542" s="77" t="n"/>
      <c r="B542" s="77" t="n"/>
      <c r="C542" s="77" t="n"/>
      <c r="D542" s="77" t="n"/>
      <c r="E542" s="77" t="n"/>
    </row>
    <row r="543" ht="15.75" customHeight="1" s="360">
      <c r="A543" s="77" t="n"/>
      <c r="B543" s="77" t="n"/>
      <c r="C543" s="77" t="n"/>
      <c r="D543" s="77" t="n"/>
      <c r="E543" s="77" t="n"/>
    </row>
    <row r="544" ht="15.75" customHeight="1" s="360">
      <c r="A544" s="77" t="n"/>
      <c r="B544" s="77" t="n"/>
      <c r="C544" s="77" t="n"/>
      <c r="D544" s="77" t="n"/>
      <c r="E544" s="77" t="n"/>
    </row>
    <row r="545" ht="15.75" customHeight="1" s="360">
      <c r="A545" s="77" t="n"/>
      <c r="B545" s="77" t="n"/>
      <c r="C545" s="77" t="n"/>
      <c r="D545" s="77" t="n"/>
      <c r="E545" s="77" t="n"/>
    </row>
    <row r="546" ht="15.75" customHeight="1" s="360">
      <c r="A546" s="77" t="n"/>
      <c r="B546" s="77" t="n"/>
      <c r="C546" s="77" t="n"/>
      <c r="D546" s="77" t="n"/>
      <c r="E546" s="77" t="n"/>
    </row>
    <row r="547" ht="15.75" customHeight="1" s="360">
      <c r="A547" s="77" t="n"/>
      <c r="B547" s="77" t="n"/>
      <c r="C547" s="77" t="n"/>
      <c r="D547" s="77" t="n"/>
      <c r="E547" s="77" t="n"/>
    </row>
    <row r="548" ht="15.75" customHeight="1" s="360">
      <c r="A548" s="77" t="n"/>
      <c r="B548" s="77" t="n"/>
      <c r="C548" s="77" t="n"/>
      <c r="D548" s="77" t="n"/>
      <c r="E548" s="77" t="n"/>
    </row>
    <row r="549" ht="15.75" customHeight="1" s="360">
      <c r="A549" s="77" t="n"/>
      <c r="B549" s="77" t="n"/>
      <c r="C549" s="77" t="n"/>
      <c r="D549" s="77" t="n"/>
      <c r="E549" s="77" t="n"/>
    </row>
    <row r="550" ht="15.75" customHeight="1" s="360">
      <c r="A550" s="77" t="n"/>
      <c r="B550" s="77" t="n"/>
      <c r="C550" s="77" t="n"/>
      <c r="D550" s="77" t="n"/>
      <c r="E550" s="77" t="n"/>
    </row>
    <row r="551" ht="15.75" customHeight="1" s="360">
      <c r="A551" s="77" t="n"/>
      <c r="B551" s="77" t="n"/>
      <c r="C551" s="77" t="n"/>
      <c r="D551" s="77" t="n"/>
      <c r="E551" s="77" t="n"/>
    </row>
    <row r="552" ht="15.75" customHeight="1" s="360">
      <c r="A552" s="77" t="n"/>
      <c r="B552" s="77" t="n"/>
      <c r="C552" s="77" t="n"/>
      <c r="D552" s="77" t="n"/>
      <c r="E552" s="77" t="n"/>
    </row>
    <row r="553" ht="15.75" customHeight="1" s="360">
      <c r="A553" s="77" t="n"/>
      <c r="B553" s="77" t="n"/>
      <c r="C553" s="77" t="n"/>
      <c r="D553" s="77" t="n"/>
      <c r="E553" s="77" t="n"/>
    </row>
    <row r="554" ht="15.75" customHeight="1" s="360">
      <c r="A554" s="77" t="n"/>
      <c r="B554" s="77" t="n"/>
      <c r="C554" s="77" t="n"/>
      <c r="D554" s="77" t="n"/>
      <c r="E554" s="77" t="n"/>
    </row>
    <row r="555" ht="15.75" customHeight="1" s="360">
      <c r="A555" s="77" t="n"/>
      <c r="B555" s="77" t="n"/>
      <c r="C555" s="77" t="n"/>
      <c r="D555" s="77" t="n"/>
      <c r="E555" s="77" t="n"/>
    </row>
    <row r="556" ht="15.75" customHeight="1" s="360">
      <c r="A556" s="77" t="n"/>
      <c r="B556" s="77" t="n"/>
      <c r="C556" s="77" t="n"/>
      <c r="D556" s="77" t="n"/>
      <c r="E556" s="77" t="n"/>
    </row>
    <row r="557" ht="15.75" customHeight="1" s="360">
      <c r="A557" s="77" t="n"/>
      <c r="B557" s="77" t="n"/>
      <c r="C557" s="77" t="n"/>
      <c r="D557" s="77" t="n"/>
      <c r="E557" s="77" t="n"/>
    </row>
    <row r="558" ht="15.75" customHeight="1" s="360">
      <c r="A558" s="77" t="n"/>
      <c r="B558" s="77" t="n"/>
      <c r="C558" s="77" t="n"/>
      <c r="D558" s="77" t="n"/>
      <c r="E558" s="77" t="n"/>
    </row>
    <row r="559" ht="15.75" customHeight="1" s="360">
      <c r="A559" s="77" t="n"/>
      <c r="B559" s="77" t="n"/>
      <c r="C559" s="77" t="n"/>
      <c r="D559" s="77" t="n"/>
      <c r="E559" s="77" t="n"/>
    </row>
    <row r="560" ht="15.75" customHeight="1" s="360">
      <c r="A560" s="77" t="n"/>
      <c r="B560" s="77" t="n"/>
      <c r="C560" s="77" t="n"/>
      <c r="D560" s="77" t="n"/>
      <c r="E560" s="77" t="n"/>
    </row>
    <row r="561" ht="15.75" customHeight="1" s="360">
      <c r="A561" s="77" t="n"/>
      <c r="B561" s="77" t="n"/>
      <c r="C561" s="77" t="n"/>
      <c r="D561" s="77" t="n"/>
      <c r="E561" s="77" t="n"/>
    </row>
    <row r="562" ht="15.75" customHeight="1" s="360">
      <c r="A562" s="77" t="n"/>
      <c r="B562" s="77" t="n"/>
      <c r="C562" s="77" t="n"/>
      <c r="D562" s="77" t="n"/>
      <c r="E562" s="77" t="n"/>
    </row>
    <row r="563" ht="15.75" customHeight="1" s="360">
      <c r="A563" s="77" t="n"/>
      <c r="B563" s="77" t="n"/>
      <c r="C563" s="77" t="n"/>
      <c r="D563" s="77" t="n"/>
      <c r="E563" s="77" t="n"/>
    </row>
    <row r="564" ht="15.75" customHeight="1" s="360">
      <c r="A564" s="77" t="n"/>
      <c r="B564" s="77" t="n"/>
      <c r="C564" s="77" t="n"/>
      <c r="D564" s="77" t="n"/>
      <c r="E564" s="77" t="n"/>
    </row>
    <row r="565" ht="15.75" customHeight="1" s="360">
      <c r="A565" s="77" t="n"/>
      <c r="B565" s="77" t="n"/>
      <c r="C565" s="77" t="n"/>
      <c r="D565" s="77" t="n"/>
      <c r="E565" s="77" t="n"/>
    </row>
    <row r="566" ht="15.75" customHeight="1" s="360">
      <c r="A566" s="77" t="n"/>
      <c r="B566" s="77" t="n"/>
      <c r="C566" s="77" t="n"/>
      <c r="D566" s="77" t="n"/>
      <c r="E566" s="77" t="n"/>
    </row>
    <row r="567" ht="15.75" customHeight="1" s="360">
      <c r="A567" s="77" t="n"/>
      <c r="B567" s="77" t="n"/>
      <c r="C567" s="77" t="n"/>
      <c r="D567" s="77" t="n"/>
      <c r="E567" s="77" t="n"/>
    </row>
    <row r="568" ht="15.75" customHeight="1" s="360">
      <c r="A568" s="77" t="n"/>
      <c r="B568" s="77" t="n"/>
      <c r="C568" s="77" t="n"/>
      <c r="D568" s="77" t="n"/>
      <c r="E568" s="77" t="n"/>
    </row>
    <row r="569" ht="15.75" customHeight="1" s="360">
      <c r="A569" s="77" t="n"/>
      <c r="B569" s="77" t="n"/>
      <c r="C569" s="77" t="n"/>
      <c r="D569" s="77" t="n"/>
      <c r="E569" s="77" t="n"/>
    </row>
    <row r="570" ht="15.75" customHeight="1" s="360">
      <c r="A570" s="77" t="n"/>
      <c r="B570" s="77" t="n"/>
      <c r="C570" s="77" t="n"/>
      <c r="D570" s="77" t="n"/>
      <c r="E570" s="77" t="n"/>
    </row>
    <row r="571" ht="15.75" customHeight="1" s="360">
      <c r="A571" s="77" t="n"/>
      <c r="B571" s="77" t="n"/>
      <c r="C571" s="77" t="n"/>
      <c r="D571" s="77" t="n"/>
      <c r="E571" s="77" t="n"/>
    </row>
    <row r="572" ht="15.75" customHeight="1" s="360">
      <c r="A572" s="77" t="n"/>
      <c r="B572" s="77" t="n"/>
      <c r="C572" s="77" t="n"/>
      <c r="D572" s="77" t="n"/>
      <c r="E572" s="77" t="n"/>
    </row>
    <row r="573" ht="15.75" customHeight="1" s="360">
      <c r="A573" s="77" t="n"/>
      <c r="B573" s="77" t="n"/>
      <c r="C573" s="77" t="n"/>
      <c r="D573" s="77" t="n"/>
      <c r="E573" s="77" t="n"/>
    </row>
    <row r="574" ht="15.75" customHeight="1" s="360">
      <c r="A574" s="77" t="n"/>
      <c r="B574" s="77" t="n"/>
      <c r="C574" s="77" t="n"/>
      <c r="D574" s="77" t="n"/>
      <c r="E574" s="77" t="n"/>
    </row>
    <row r="575" ht="15.75" customHeight="1" s="360">
      <c r="A575" s="77" t="n"/>
      <c r="B575" s="77" t="n"/>
      <c r="C575" s="77" t="n"/>
      <c r="D575" s="77" t="n"/>
      <c r="E575" s="77" t="n"/>
    </row>
    <row r="576" ht="15.75" customHeight="1" s="360">
      <c r="A576" s="77" t="n"/>
      <c r="B576" s="77" t="n"/>
      <c r="C576" s="77" t="n"/>
      <c r="D576" s="77" t="n"/>
      <c r="E576" s="77" t="n"/>
    </row>
    <row r="577" ht="15.75" customHeight="1" s="360">
      <c r="A577" s="77" t="n"/>
      <c r="B577" s="77" t="n"/>
      <c r="C577" s="77" t="n"/>
      <c r="D577" s="77" t="n"/>
      <c r="E577" s="77" t="n"/>
    </row>
    <row r="578" ht="15.75" customHeight="1" s="360">
      <c r="A578" s="77" t="n"/>
      <c r="B578" s="77" t="n"/>
      <c r="C578" s="77" t="n"/>
      <c r="D578" s="77" t="n"/>
      <c r="E578" s="77" t="n"/>
    </row>
    <row r="579" ht="15.75" customHeight="1" s="360">
      <c r="A579" s="77" t="n"/>
      <c r="B579" s="77" t="n"/>
      <c r="C579" s="77" t="n"/>
      <c r="D579" s="77" t="n"/>
      <c r="E579" s="77" t="n"/>
    </row>
    <row r="580" ht="15.75" customHeight="1" s="360">
      <c r="A580" s="77" t="n"/>
      <c r="B580" s="77" t="n"/>
      <c r="C580" s="77" t="n"/>
      <c r="D580" s="77" t="n"/>
      <c r="E580" s="77" t="n"/>
    </row>
    <row r="581" ht="15.75" customHeight="1" s="360">
      <c r="A581" s="77" t="n"/>
      <c r="B581" s="77" t="n"/>
      <c r="C581" s="77" t="n"/>
      <c r="D581" s="77" t="n"/>
      <c r="E581" s="77" t="n"/>
    </row>
    <row r="582" ht="15.75" customHeight="1" s="360">
      <c r="A582" s="77" t="n"/>
      <c r="B582" s="77" t="n"/>
      <c r="C582" s="77" t="n"/>
      <c r="D582" s="77" t="n"/>
      <c r="E582" s="77" t="n"/>
    </row>
    <row r="583" ht="15.75" customHeight="1" s="360">
      <c r="A583" s="77" t="n"/>
      <c r="B583" s="77" t="n"/>
      <c r="C583" s="77" t="n"/>
      <c r="D583" s="77" t="n"/>
      <c r="E583" s="77" t="n"/>
    </row>
    <row r="584" ht="15.75" customHeight="1" s="360">
      <c r="A584" s="77" t="n"/>
      <c r="B584" s="77" t="n"/>
      <c r="C584" s="77" t="n"/>
      <c r="D584" s="77" t="n"/>
      <c r="E584" s="77" t="n"/>
    </row>
    <row r="585" ht="15.75" customHeight="1" s="360">
      <c r="A585" s="77" t="n"/>
      <c r="B585" s="77" t="n"/>
      <c r="C585" s="77" t="n"/>
      <c r="D585" s="77" t="n"/>
      <c r="E585" s="77" t="n"/>
    </row>
    <row r="586" ht="15.75" customHeight="1" s="360">
      <c r="A586" s="77" t="n"/>
      <c r="B586" s="77" t="n"/>
      <c r="C586" s="77" t="n"/>
      <c r="D586" s="77" t="n"/>
      <c r="E586" s="77" t="n"/>
    </row>
    <row r="587" ht="15.75" customHeight="1" s="360">
      <c r="A587" s="77" t="n"/>
      <c r="B587" s="77" t="n"/>
      <c r="C587" s="77" t="n"/>
      <c r="D587" s="77" t="n"/>
      <c r="E587" s="77" t="n"/>
    </row>
    <row r="588" ht="15.75" customHeight="1" s="360">
      <c r="A588" s="77" t="n"/>
      <c r="B588" s="77" t="n"/>
      <c r="C588" s="77" t="n"/>
      <c r="D588" s="77" t="n"/>
      <c r="E588" s="77" t="n"/>
    </row>
    <row r="589" ht="15.75" customHeight="1" s="360">
      <c r="A589" s="77" t="n"/>
      <c r="B589" s="77" t="n"/>
      <c r="C589" s="77" t="n"/>
      <c r="D589" s="77" t="n"/>
      <c r="E589" s="77" t="n"/>
    </row>
    <row r="590" ht="15.75" customHeight="1" s="360">
      <c r="A590" s="77" t="n"/>
      <c r="B590" s="77" t="n"/>
      <c r="C590" s="77" t="n"/>
      <c r="D590" s="77" t="n"/>
      <c r="E590" s="77" t="n"/>
    </row>
    <row r="591" ht="15.75" customHeight="1" s="360">
      <c r="A591" s="77" t="n"/>
      <c r="B591" s="77" t="n"/>
      <c r="C591" s="77" t="n"/>
      <c r="D591" s="77" t="n"/>
      <c r="E591" s="77" t="n"/>
    </row>
    <row r="592" ht="15.75" customHeight="1" s="360">
      <c r="A592" s="77" t="n"/>
      <c r="B592" s="77" t="n"/>
      <c r="C592" s="77" t="n"/>
      <c r="D592" s="77" t="n"/>
      <c r="E592" s="77" t="n"/>
    </row>
    <row r="593" ht="15.75" customHeight="1" s="360">
      <c r="A593" s="77" t="n"/>
      <c r="B593" s="77" t="n"/>
      <c r="C593" s="77" t="n"/>
      <c r="D593" s="77" t="n"/>
      <c r="E593" s="77" t="n"/>
    </row>
    <row r="594" ht="15.75" customHeight="1" s="360">
      <c r="A594" s="77" t="n"/>
      <c r="B594" s="77" t="n"/>
      <c r="C594" s="77" t="n"/>
      <c r="D594" s="77" t="n"/>
      <c r="E594" s="77" t="n"/>
    </row>
    <row r="595" ht="15.75" customHeight="1" s="360">
      <c r="A595" s="77" t="n"/>
      <c r="B595" s="77" t="n"/>
      <c r="C595" s="77" t="n"/>
      <c r="D595" s="77" t="n"/>
      <c r="E595" s="77" t="n"/>
    </row>
    <row r="596" ht="15.75" customHeight="1" s="360">
      <c r="A596" s="77" t="n"/>
      <c r="B596" s="77" t="n"/>
      <c r="C596" s="77" t="n"/>
      <c r="D596" s="77" t="n"/>
      <c r="E596" s="77" t="n"/>
    </row>
    <row r="597" ht="15.75" customHeight="1" s="360">
      <c r="A597" s="77" t="n"/>
      <c r="B597" s="77" t="n"/>
      <c r="C597" s="77" t="n"/>
      <c r="D597" s="77" t="n"/>
      <c r="E597" s="77" t="n"/>
    </row>
    <row r="598" ht="15.75" customHeight="1" s="360">
      <c r="A598" s="77" t="n"/>
      <c r="B598" s="77" t="n"/>
      <c r="C598" s="77" t="n"/>
      <c r="D598" s="77" t="n"/>
      <c r="E598" s="77" t="n"/>
    </row>
    <row r="599" ht="15.75" customHeight="1" s="360">
      <c r="A599" s="77" t="n"/>
      <c r="B599" s="77" t="n"/>
      <c r="C599" s="77" t="n"/>
      <c r="D599" s="77" t="n"/>
      <c r="E599" s="77" t="n"/>
    </row>
    <row r="600" ht="15.75" customHeight="1" s="360">
      <c r="A600" s="77" t="n"/>
      <c r="B600" s="77" t="n"/>
      <c r="C600" s="77" t="n"/>
      <c r="D600" s="77" t="n"/>
      <c r="E600" s="77" t="n"/>
    </row>
    <row r="601" ht="15.75" customHeight="1" s="360">
      <c r="A601" s="77" t="n"/>
      <c r="B601" s="77" t="n"/>
      <c r="C601" s="77" t="n"/>
      <c r="D601" s="77" t="n"/>
      <c r="E601" s="77" t="n"/>
    </row>
    <row r="602" ht="15.75" customHeight="1" s="360">
      <c r="A602" s="77" t="n"/>
      <c r="B602" s="77" t="n"/>
      <c r="C602" s="77" t="n"/>
      <c r="D602" s="77" t="n"/>
      <c r="E602" s="77" t="n"/>
    </row>
    <row r="603" ht="15.75" customHeight="1" s="360">
      <c r="A603" s="77" t="n"/>
      <c r="B603" s="77" t="n"/>
      <c r="C603" s="77" t="n"/>
      <c r="D603" s="77" t="n"/>
      <c r="E603" s="77" t="n"/>
    </row>
    <row r="604" ht="15.75" customHeight="1" s="360">
      <c r="A604" s="77" t="n"/>
      <c r="B604" s="77" t="n"/>
      <c r="C604" s="77" t="n"/>
      <c r="D604" s="77" t="n"/>
      <c r="E604" s="77" t="n"/>
    </row>
    <row r="605" ht="15.75" customHeight="1" s="360">
      <c r="A605" s="77" t="n"/>
      <c r="B605" s="77" t="n"/>
      <c r="C605" s="77" t="n"/>
      <c r="D605" s="77" t="n"/>
      <c r="E605" s="77" t="n"/>
    </row>
    <row r="606" ht="15.75" customHeight="1" s="360">
      <c r="A606" s="77" t="n"/>
      <c r="B606" s="77" t="n"/>
      <c r="C606" s="77" t="n"/>
      <c r="D606" s="77" t="n"/>
      <c r="E606" s="77" t="n"/>
    </row>
    <row r="607" ht="15.75" customHeight="1" s="360">
      <c r="A607" s="77" t="n"/>
      <c r="B607" s="77" t="n"/>
      <c r="C607" s="77" t="n"/>
      <c r="D607" s="77" t="n"/>
      <c r="E607" s="77" t="n"/>
    </row>
    <row r="608" ht="15.75" customHeight="1" s="360">
      <c r="A608" s="77" t="n"/>
      <c r="B608" s="77" t="n"/>
      <c r="C608" s="77" t="n"/>
      <c r="D608" s="77" t="n"/>
      <c r="E608" s="77" t="n"/>
    </row>
    <row r="609" ht="15.75" customHeight="1" s="360">
      <c r="A609" s="77" t="n"/>
      <c r="B609" s="77" t="n"/>
      <c r="C609" s="77" t="n"/>
      <c r="D609" s="77" t="n"/>
      <c r="E609" s="77" t="n"/>
    </row>
    <row r="610" ht="15.75" customHeight="1" s="360">
      <c r="A610" s="77" t="n"/>
      <c r="B610" s="77" t="n"/>
      <c r="C610" s="77" t="n"/>
      <c r="D610" s="77" t="n"/>
      <c r="E610" s="77" t="n"/>
    </row>
    <row r="611" ht="15.75" customHeight="1" s="360">
      <c r="A611" s="77" t="n"/>
      <c r="B611" s="77" t="n"/>
      <c r="C611" s="77" t="n"/>
      <c r="D611" s="77" t="n"/>
      <c r="E611" s="77" t="n"/>
    </row>
    <row r="612" ht="15.75" customHeight="1" s="360">
      <c r="A612" s="77" t="n"/>
      <c r="B612" s="77" t="n"/>
      <c r="C612" s="77" t="n"/>
      <c r="D612" s="77" t="n"/>
      <c r="E612" s="77" t="n"/>
    </row>
    <row r="613" ht="15.75" customHeight="1" s="360">
      <c r="A613" s="77" t="n"/>
      <c r="B613" s="77" t="n"/>
      <c r="C613" s="77" t="n"/>
      <c r="D613" s="77" t="n"/>
      <c r="E613" s="77" t="n"/>
    </row>
    <row r="614" ht="15.75" customHeight="1" s="360">
      <c r="A614" s="77" t="n"/>
      <c r="B614" s="77" t="n"/>
      <c r="C614" s="77" t="n"/>
      <c r="D614" s="77" t="n"/>
      <c r="E614" s="77" t="n"/>
    </row>
    <row r="615" ht="15.75" customHeight="1" s="360">
      <c r="A615" s="77" t="n"/>
      <c r="B615" s="77" t="n"/>
      <c r="C615" s="77" t="n"/>
      <c r="D615" s="77" t="n"/>
      <c r="E615" s="77" t="n"/>
    </row>
    <row r="616" ht="15.75" customHeight="1" s="360">
      <c r="A616" s="77" t="n"/>
      <c r="B616" s="77" t="n"/>
      <c r="C616" s="77" t="n"/>
      <c r="D616" s="77" t="n"/>
      <c r="E616" s="77" t="n"/>
    </row>
    <row r="617" ht="15.75" customHeight="1" s="360">
      <c r="A617" s="77" t="n"/>
      <c r="B617" s="77" t="n"/>
      <c r="C617" s="77" t="n"/>
      <c r="D617" s="77" t="n"/>
      <c r="E617" s="77" t="n"/>
    </row>
    <row r="618" ht="15.75" customHeight="1" s="360">
      <c r="A618" s="77" t="n"/>
      <c r="B618" s="77" t="n"/>
      <c r="C618" s="77" t="n"/>
      <c r="D618" s="77" t="n"/>
      <c r="E618" s="77" t="n"/>
    </row>
    <row r="619" ht="15.75" customHeight="1" s="360">
      <c r="A619" s="77" t="n"/>
      <c r="B619" s="77" t="n"/>
      <c r="C619" s="77" t="n"/>
      <c r="D619" s="77" t="n"/>
      <c r="E619" s="77" t="n"/>
    </row>
    <row r="620" ht="15.75" customHeight="1" s="360">
      <c r="A620" s="77" t="n"/>
      <c r="B620" s="77" t="n"/>
      <c r="C620" s="77" t="n"/>
      <c r="D620" s="77" t="n"/>
      <c r="E620" s="77" t="n"/>
    </row>
    <row r="621" ht="15.75" customHeight="1" s="360">
      <c r="A621" s="77" t="n"/>
      <c r="B621" s="77" t="n"/>
      <c r="C621" s="77" t="n"/>
      <c r="D621" s="77" t="n"/>
      <c r="E621" s="77" t="n"/>
    </row>
    <row r="622" ht="15.75" customHeight="1" s="360">
      <c r="A622" s="77" t="n"/>
      <c r="B622" s="77" t="n"/>
      <c r="C622" s="77" t="n"/>
      <c r="D622" s="77" t="n"/>
      <c r="E622" s="77" t="n"/>
    </row>
    <row r="623" ht="15.75" customHeight="1" s="360">
      <c r="A623" s="77" t="n"/>
      <c r="B623" s="77" t="n"/>
      <c r="C623" s="77" t="n"/>
      <c r="D623" s="77" t="n"/>
      <c r="E623" s="77" t="n"/>
    </row>
    <row r="624" ht="15.75" customHeight="1" s="360">
      <c r="A624" s="77" t="n"/>
      <c r="B624" s="77" t="n"/>
      <c r="C624" s="77" t="n"/>
      <c r="D624" s="77" t="n"/>
      <c r="E624" s="77" t="n"/>
    </row>
    <row r="625" ht="15.75" customHeight="1" s="360">
      <c r="A625" s="77" t="n"/>
      <c r="B625" s="77" t="n"/>
      <c r="C625" s="77" t="n"/>
      <c r="D625" s="77" t="n"/>
      <c r="E625" s="77" t="n"/>
    </row>
    <row r="626" ht="15.75" customHeight="1" s="360">
      <c r="A626" s="77" t="n"/>
      <c r="B626" s="77" t="n"/>
      <c r="C626" s="77" t="n"/>
      <c r="D626" s="77" t="n"/>
      <c r="E626" s="77" t="n"/>
    </row>
    <row r="627" ht="15.75" customHeight="1" s="360">
      <c r="A627" s="77" t="n"/>
      <c r="B627" s="77" t="n"/>
      <c r="C627" s="77" t="n"/>
      <c r="D627" s="77" t="n"/>
      <c r="E627" s="77" t="n"/>
    </row>
    <row r="628" ht="15.75" customHeight="1" s="360">
      <c r="A628" s="77" t="n"/>
      <c r="B628" s="77" t="n"/>
      <c r="C628" s="77" t="n"/>
      <c r="D628" s="77" t="n"/>
      <c r="E628" s="77" t="n"/>
    </row>
    <row r="629" ht="15.75" customHeight="1" s="360">
      <c r="A629" s="77" t="n"/>
      <c r="B629" s="77" t="n"/>
      <c r="C629" s="77" t="n"/>
      <c r="D629" s="77" t="n"/>
      <c r="E629" s="77" t="n"/>
    </row>
    <row r="630" ht="15.75" customHeight="1" s="360">
      <c r="A630" s="77" t="n"/>
      <c r="B630" s="77" t="n"/>
      <c r="C630" s="77" t="n"/>
      <c r="D630" s="77" t="n"/>
      <c r="E630" s="77" t="n"/>
    </row>
    <row r="631" ht="15.75" customHeight="1" s="360">
      <c r="A631" s="77" t="n"/>
      <c r="B631" s="77" t="n"/>
      <c r="C631" s="77" t="n"/>
      <c r="D631" s="77" t="n"/>
      <c r="E631" s="77" t="n"/>
    </row>
    <row r="632" ht="15.75" customHeight="1" s="360">
      <c r="A632" s="77" t="n"/>
      <c r="B632" s="77" t="n"/>
      <c r="C632" s="77" t="n"/>
      <c r="D632" s="77" t="n"/>
      <c r="E632" s="77" t="n"/>
    </row>
    <row r="633" ht="15.75" customHeight="1" s="360">
      <c r="A633" s="77" t="n"/>
      <c r="B633" s="77" t="n"/>
      <c r="C633" s="77" t="n"/>
      <c r="D633" s="77" t="n"/>
      <c r="E633" s="77" t="n"/>
    </row>
    <row r="634" ht="15.75" customHeight="1" s="360">
      <c r="A634" s="77" t="n"/>
      <c r="B634" s="77" t="n"/>
      <c r="C634" s="77" t="n"/>
      <c r="D634" s="77" t="n"/>
      <c r="E634" s="77" t="n"/>
    </row>
    <row r="635" ht="15.75" customHeight="1" s="360">
      <c r="A635" s="77" t="n"/>
      <c r="B635" s="77" t="n"/>
      <c r="C635" s="77" t="n"/>
      <c r="D635" s="77" t="n"/>
      <c r="E635" s="77" t="n"/>
    </row>
    <row r="636" ht="15.75" customHeight="1" s="360">
      <c r="A636" s="77" t="n"/>
      <c r="B636" s="77" t="n"/>
      <c r="C636" s="77" t="n"/>
      <c r="D636" s="77" t="n"/>
      <c r="E636" s="77" t="n"/>
    </row>
    <row r="637" ht="15.75" customHeight="1" s="360">
      <c r="A637" s="77" t="n"/>
      <c r="B637" s="77" t="n"/>
      <c r="C637" s="77" t="n"/>
      <c r="D637" s="77" t="n"/>
      <c r="E637" s="77" t="n"/>
    </row>
    <row r="638" ht="15.75" customHeight="1" s="360">
      <c r="A638" s="77" t="n"/>
      <c r="B638" s="77" t="n"/>
      <c r="C638" s="77" t="n"/>
      <c r="D638" s="77" t="n"/>
      <c r="E638" s="77" t="n"/>
    </row>
    <row r="639" ht="15.75" customHeight="1" s="360">
      <c r="A639" s="77" t="n"/>
      <c r="B639" s="77" t="n"/>
      <c r="C639" s="77" t="n"/>
      <c r="D639" s="77" t="n"/>
      <c r="E639" s="77" t="n"/>
    </row>
    <row r="640" ht="15.75" customHeight="1" s="360">
      <c r="A640" s="77" t="n"/>
      <c r="B640" s="77" t="n"/>
      <c r="C640" s="77" t="n"/>
      <c r="D640" s="77" t="n"/>
      <c r="E640" s="77" t="n"/>
    </row>
    <row r="641" ht="15.75" customHeight="1" s="360">
      <c r="A641" s="77" t="n"/>
      <c r="B641" s="77" t="n"/>
      <c r="C641" s="77" t="n"/>
      <c r="D641" s="77" t="n"/>
      <c r="E641" s="77" t="n"/>
    </row>
    <row r="642" ht="15.75" customHeight="1" s="360">
      <c r="A642" s="77" t="n"/>
      <c r="B642" s="77" t="n"/>
      <c r="C642" s="77" t="n"/>
      <c r="D642" s="77" t="n"/>
      <c r="E642" s="77" t="n"/>
    </row>
    <row r="643" ht="15.75" customHeight="1" s="360">
      <c r="A643" s="77" t="n"/>
      <c r="B643" s="77" t="n"/>
      <c r="C643" s="77" t="n"/>
      <c r="D643" s="77" t="n"/>
      <c r="E643" s="77" t="n"/>
    </row>
    <row r="644" ht="15.75" customHeight="1" s="360">
      <c r="A644" s="77" t="n"/>
      <c r="B644" s="77" t="n"/>
      <c r="C644" s="77" t="n"/>
      <c r="D644" s="77" t="n"/>
      <c r="E644" s="77" t="n"/>
    </row>
    <row r="645" ht="15.75" customHeight="1" s="360">
      <c r="A645" s="77" t="n"/>
      <c r="B645" s="77" t="n"/>
      <c r="C645" s="77" t="n"/>
      <c r="D645" s="77" t="n"/>
      <c r="E645" s="77" t="n"/>
    </row>
    <row r="646" ht="15.75" customHeight="1" s="360">
      <c r="A646" s="77" t="n"/>
      <c r="B646" s="77" t="n"/>
      <c r="C646" s="77" t="n"/>
      <c r="D646" s="77" t="n"/>
      <c r="E646" s="77" t="n"/>
    </row>
    <row r="647" ht="15.75" customHeight="1" s="360">
      <c r="A647" s="77" t="n"/>
      <c r="B647" s="77" t="n"/>
      <c r="C647" s="77" t="n"/>
      <c r="D647" s="77" t="n"/>
      <c r="E647" s="77" t="n"/>
    </row>
    <row r="648" ht="15.75" customHeight="1" s="360">
      <c r="A648" s="77" t="n"/>
      <c r="B648" s="77" t="n"/>
      <c r="C648" s="77" t="n"/>
      <c r="D648" s="77" t="n"/>
      <c r="E648" s="77" t="n"/>
    </row>
    <row r="649" ht="15.75" customHeight="1" s="360">
      <c r="A649" s="77" t="n"/>
      <c r="B649" s="77" t="n"/>
      <c r="C649" s="77" t="n"/>
      <c r="D649" s="77" t="n"/>
      <c r="E649" s="77" t="n"/>
    </row>
    <row r="650" ht="15.75" customHeight="1" s="360">
      <c r="A650" s="77" t="n"/>
      <c r="B650" s="77" t="n"/>
      <c r="C650" s="77" t="n"/>
      <c r="D650" s="77" t="n"/>
      <c r="E650" s="77" t="n"/>
    </row>
    <row r="651" ht="15.75" customHeight="1" s="360">
      <c r="A651" s="77" t="n"/>
      <c r="B651" s="77" t="n"/>
      <c r="C651" s="77" t="n"/>
      <c r="D651" s="77" t="n"/>
      <c r="E651" s="77" t="n"/>
    </row>
    <row r="652" ht="15.75" customHeight="1" s="360">
      <c r="A652" s="77" t="n"/>
      <c r="B652" s="77" t="n"/>
      <c r="C652" s="77" t="n"/>
      <c r="D652" s="77" t="n"/>
      <c r="E652" s="77" t="n"/>
    </row>
    <row r="653" ht="15.75" customHeight="1" s="360">
      <c r="A653" s="77" t="n"/>
      <c r="B653" s="77" t="n"/>
      <c r="C653" s="77" t="n"/>
      <c r="D653" s="77" t="n"/>
      <c r="E653" s="77" t="n"/>
    </row>
    <row r="654" ht="15.75" customHeight="1" s="360">
      <c r="A654" s="77" t="n"/>
      <c r="B654" s="77" t="n"/>
      <c r="C654" s="77" t="n"/>
      <c r="D654" s="77" t="n"/>
      <c r="E654" s="77" t="n"/>
    </row>
    <row r="655" ht="15.75" customHeight="1" s="360">
      <c r="A655" s="77" t="n"/>
      <c r="B655" s="77" t="n"/>
      <c r="C655" s="77" t="n"/>
      <c r="D655" s="77" t="n"/>
      <c r="E655" s="77" t="n"/>
    </row>
    <row r="656" ht="15.75" customHeight="1" s="360">
      <c r="A656" s="77" t="n"/>
      <c r="B656" s="77" t="n"/>
      <c r="C656" s="77" t="n"/>
      <c r="D656" s="77" t="n"/>
      <c r="E656" s="77" t="n"/>
    </row>
    <row r="657" ht="15.75" customHeight="1" s="360">
      <c r="A657" s="77" t="n"/>
      <c r="B657" s="77" t="n"/>
      <c r="C657" s="77" t="n"/>
      <c r="D657" s="77" t="n"/>
      <c r="E657" s="77" t="n"/>
    </row>
    <row r="658" ht="15.75" customHeight="1" s="360">
      <c r="A658" s="77" t="n"/>
      <c r="B658" s="77" t="n"/>
      <c r="C658" s="77" t="n"/>
      <c r="D658" s="77" t="n"/>
      <c r="E658" s="77" t="n"/>
    </row>
    <row r="659" ht="15.75" customHeight="1" s="360">
      <c r="A659" s="77" t="n"/>
      <c r="B659" s="77" t="n"/>
      <c r="C659" s="77" t="n"/>
      <c r="D659" s="77" t="n"/>
      <c r="E659" s="77" t="n"/>
    </row>
    <row r="660" ht="15.75" customHeight="1" s="360">
      <c r="A660" s="77" t="n"/>
      <c r="B660" s="77" t="n"/>
      <c r="C660" s="77" t="n"/>
      <c r="D660" s="77" t="n"/>
      <c r="E660" s="77" t="n"/>
    </row>
    <row r="661" ht="15.75" customHeight="1" s="360">
      <c r="A661" s="77" t="n"/>
      <c r="B661" s="77" t="n"/>
      <c r="C661" s="77" t="n"/>
      <c r="D661" s="77" t="n"/>
      <c r="E661" s="77" t="n"/>
    </row>
    <row r="662" ht="15.75" customHeight="1" s="360">
      <c r="A662" s="77" t="n"/>
      <c r="B662" s="77" t="n"/>
      <c r="C662" s="77" t="n"/>
      <c r="D662" s="77" t="n"/>
      <c r="E662" s="77" t="n"/>
    </row>
    <row r="663" ht="15.75" customHeight="1" s="360">
      <c r="A663" s="77" t="n"/>
      <c r="B663" s="77" t="n"/>
      <c r="C663" s="77" t="n"/>
      <c r="D663" s="77" t="n"/>
      <c r="E663" s="77" t="n"/>
    </row>
    <row r="664" ht="15.75" customHeight="1" s="360">
      <c r="A664" s="77" t="n"/>
      <c r="B664" s="77" t="n"/>
      <c r="C664" s="77" t="n"/>
      <c r="D664" s="77" t="n"/>
      <c r="E664" s="77" t="n"/>
    </row>
    <row r="665" ht="15.75" customHeight="1" s="360">
      <c r="A665" s="77" t="n"/>
      <c r="B665" s="77" t="n"/>
      <c r="C665" s="77" t="n"/>
      <c r="D665" s="77" t="n"/>
      <c r="E665" s="77" t="n"/>
    </row>
    <row r="666" ht="15.75" customHeight="1" s="360">
      <c r="A666" s="77" t="n"/>
      <c r="B666" s="77" t="n"/>
      <c r="C666" s="77" t="n"/>
      <c r="D666" s="77" t="n"/>
      <c r="E666" s="77" t="n"/>
    </row>
    <row r="667" ht="15.75" customHeight="1" s="360">
      <c r="A667" s="77" t="n"/>
      <c r="B667" s="77" t="n"/>
      <c r="C667" s="77" t="n"/>
      <c r="D667" s="77" t="n"/>
      <c r="E667" s="77" t="n"/>
    </row>
    <row r="668" ht="15.75" customHeight="1" s="360">
      <c r="A668" s="77" t="n"/>
      <c r="B668" s="77" t="n"/>
      <c r="C668" s="77" t="n"/>
      <c r="D668" s="77" t="n"/>
      <c r="E668" s="77" t="n"/>
    </row>
    <row r="669" ht="15.75" customHeight="1" s="360">
      <c r="A669" s="77" t="n"/>
      <c r="B669" s="77" t="n"/>
      <c r="C669" s="77" t="n"/>
      <c r="D669" s="77" t="n"/>
      <c r="E669" s="77" t="n"/>
    </row>
    <row r="670" ht="15.75" customHeight="1" s="360">
      <c r="A670" s="77" t="n"/>
      <c r="B670" s="77" t="n"/>
      <c r="C670" s="77" t="n"/>
      <c r="D670" s="77" t="n"/>
      <c r="E670" s="77" t="n"/>
    </row>
    <row r="671" ht="15.75" customHeight="1" s="360">
      <c r="A671" s="77" t="n"/>
      <c r="B671" s="77" t="n"/>
      <c r="C671" s="77" t="n"/>
      <c r="D671" s="77" t="n"/>
      <c r="E671" s="77" t="n"/>
    </row>
    <row r="672" ht="15.75" customHeight="1" s="360">
      <c r="A672" s="77" t="n"/>
      <c r="B672" s="77" t="n"/>
      <c r="C672" s="77" t="n"/>
      <c r="D672" s="77" t="n"/>
      <c r="E672" s="77" t="n"/>
    </row>
    <row r="673" ht="15.75" customHeight="1" s="360">
      <c r="A673" s="77" t="n"/>
      <c r="B673" s="77" t="n"/>
      <c r="C673" s="77" t="n"/>
      <c r="D673" s="77" t="n"/>
      <c r="E673" s="77" t="n"/>
    </row>
    <row r="674" ht="15.75" customHeight="1" s="360">
      <c r="A674" s="77" t="n"/>
      <c r="B674" s="77" t="n"/>
      <c r="C674" s="77" t="n"/>
      <c r="D674" s="77" t="n"/>
      <c r="E674" s="77" t="n"/>
    </row>
    <row r="675" ht="15.75" customHeight="1" s="360">
      <c r="A675" s="77" t="n"/>
      <c r="B675" s="77" t="n"/>
      <c r="C675" s="77" t="n"/>
      <c r="D675" s="77" t="n"/>
      <c r="E675" s="77" t="n"/>
    </row>
    <row r="676" ht="15.75" customHeight="1" s="360">
      <c r="A676" s="77" t="n"/>
      <c r="B676" s="77" t="n"/>
      <c r="C676" s="77" t="n"/>
      <c r="D676" s="77" t="n"/>
      <c r="E676" s="77" t="n"/>
    </row>
    <row r="677" ht="15.75" customHeight="1" s="360">
      <c r="A677" s="77" t="n"/>
      <c r="B677" s="77" t="n"/>
      <c r="C677" s="77" t="n"/>
      <c r="D677" s="77" t="n"/>
      <c r="E677" s="77" t="n"/>
    </row>
    <row r="678" ht="15.75" customHeight="1" s="360">
      <c r="A678" s="77" t="n"/>
      <c r="B678" s="77" t="n"/>
      <c r="C678" s="77" t="n"/>
      <c r="D678" s="77" t="n"/>
      <c r="E678" s="77" t="n"/>
    </row>
    <row r="679" ht="15.75" customHeight="1" s="360">
      <c r="A679" s="77" t="n"/>
      <c r="B679" s="77" t="n"/>
      <c r="C679" s="77" t="n"/>
      <c r="D679" s="77" t="n"/>
      <c r="E679" s="77" t="n"/>
    </row>
    <row r="680" ht="15.75" customHeight="1" s="360">
      <c r="A680" s="77" t="n"/>
      <c r="B680" s="77" t="n"/>
      <c r="C680" s="77" t="n"/>
      <c r="D680" s="77" t="n"/>
      <c r="E680" s="77" t="n"/>
    </row>
    <row r="681" ht="15.75" customHeight="1" s="360">
      <c r="A681" s="77" t="n"/>
      <c r="B681" s="77" t="n"/>
      <c r="C681" s="77" t="n"/>
      <c r="D681" s="77" t="n"/>
      <c r="E681" s="77" t="n"/>
    </row>
    <row r="682" ht="15.75" customHeight="1" s="360">
      <c r="A682" s="77" t="n"/>
      <c r="B682" s="77" t="n"/>
      <c r="C682" s="77" t="n"/>
      <c r="D682" s="77" t="n"/>
      <c r="E682" s="77" t="n"/>
    </row>
    <row r="683" ht="15.75" customHeight="1" s="360">
      <c r="A683" s="77" t="n"/>
      <c r="B683" s="77" t="n"/>
      <c r="C683" s="77" t="n"/>
      <c r="D683" s="77" t="n"/>
      <c r="E683" s="77" t="n"/>
    </row>
    <row r="684" ht="15.75" customHeight="1" s="360">
      <c r="A684" s="77" t="n"/>
      <c r="B684" s="77" t="n"/>
      <c r="C684" s="77" t="n"/>
      <c r="D684" s="77" t="n"/>
      <c r="E684" s="77" t="n"/>
    </row>
    <row r="685" ht="15.75" customHeight="1" s="360">
      <c r="A685" s="77" t="n"/>
      <c r="B685" s="77" t="n"/>
      <c r="C685" s="77" t="n"/>
      <c r="D685" s="77" t="n"/>
      <c r="E685" s="77" t="n"/>
    </row>
    <row r="686" ht="15.75" customHeight="1" s="360">
      <c r="A686" s="77" t="n"/>
      <c r="B686" s="77" t="n"/>
      <c r="C686" s="77" t="n"/>
      <c r="D686" s="77" t="n"/>
      <c r="E686" s="77" t="n"/>
    </row>
    <row r="687" ht="15.75" customHeight="1" s="360">
      <c r="A687" s="77" t="n"/>
      <c r="B687" s="77" t="n"/>
      <c r="C687" s="77" t="n"/>
      <c r="D687" s="77" t="n"/>
      <c r="E687" s="77" t="n"/>
    </row>
    <row r="688" ht="15.75" customHeight="1" s="360">
      <c r="A688" s="77" t="n"/>
      <c r="B688" s="77" t="n"/>
      <c r="C688" s="77" t="n"/>
      <c r="D688" s="77" t="n"/>
      <c r="E688" s="77" t="n"/>
    </row>
    <row r="689" ht="15.75" customHeight="1" s="360">
      <c r="A689" s="77" t="n"/>
      <c r="B689" s="77" t="n"/>
      <c r="C689" s="77" t="n"/>
      <c r="D689" s="77" t="n"/>
      <c r="E689" s="77" t="n"/>
    </row>
    <row r="690" ht="15.75" customHeight="1" s="360">
      <c r="A690" s="77" t="n"/>
      <c r="B690" s="77" t="n"/>
      <c r="C690" s="77" t="n"/>
      <c r="D690" s="77" t="n"/>
      <c r="E690" s="77" t="n"/>
    </row>
    <row r="691" ht="15.75" customHeight="1" s="360">
      <c r="A691" s="77" t="n"/>
      <c r="B691" s="77" t="n"/>
      <c r="C691" s="77" t="n"/>
      <c r="D691" s="77" t="n"/>
      <c r="E691" s="77" t="n"/>
    </row>
    <row r="692" ht="15.75" customHeight="1" s="360">
      <c r="A692" s="77" t="n"/>
      <c r="B692" s="77" t="n"/>
      <c r="C692" s="77" t="n"/>
      <c r="D692" s="77" t="n"/>
      <c r="E692" s="77" t="n"/>
    </row>
    <row r="693" ht="15.75" customHeight="1" s="360">
      <c r="A693" s="77" t="n"/>
      <c r="B693" s="77" t="n"/>
      <c r="C693" s="77" t="n"/>
      <c r="D693" s="77" t="n"/>
      <c r="E693" s="77" t="n"/>
    </row>
    <row r="694" ht="15.75" customHeight="1" s="360">
      <c r="A694" s="77" t="n"/>
      <c r="B694" s="77" t="n"/>
      <c r="C694" s="77" t="n"/>
      <c r="D694" s="77" t="n"/>
      <c r="E694" s="77" t="n"/>
    </row>
    <row r="695" ht="15.75" customHeight="1" s="360">
      <c r="A695" s="77" t="n"/>
      <c r="B695" s="77" t="n"/>
      <c r="C695" s="77" t="n"/>
      <c r="D695" s="77" t="n"/>
      <c r="E695" s="77" t="n"/>
    </row>
    <row r="696" ht="15.75" customHeight="1" s="360">
      <c r="A696" s="77" t="n"/>
      <c r="B696" s="77" t="n"/>
      <c r="C696" s="77" t="n"/>
      <c r="D696" s="77" t="n"/>
      <c r="E696" s="77" t="n"/>
    </row>
    <row r="697" ht="15.75" customHeight="1" s="360">
      <c r="A697" s="77" t="n"/>
      <c r="B697" s="77" t="n"/>
      <c r="C697" s="77" t="n"/>
      <c r="D697" s="77" t="n"/>
      <c r="E697" s="77" t="n"/>
    </row>
    <row r="698" ht="15.75" customHeight="1" s="360">
      <c r="A698" s="77" t="n"/>
      <c r="B698" s="77" t="n"/>
      <c r="C698" s="77" t="n"/>
      <c r="D698" s="77" t="n"/>
      <c r="E698" s="77" t="n"/>
    </row>
    <row r="699" ht="15.75" customHeight="1" s="360">
      <c r="A699" s="77" t="n"/>
      <c r="B699" s="77" t="n"/>
      <c r="C699" s="77" t="n"/>
      <c r="D699" s="77" t="n"/>
      <c r="E699" s="77" t="n"/>
    </row>
    <row r="700" ht="15.75" customHeight="1" s="360">
      <c r="A700" s="77" t="n"/>
      <c r="B700" s="77" t="n"/>
      <c r="C700" s="77" t="n"/>
      <c r="D700" s="77" t="n"/>
      <c r="E700" s="77" t="n"/>
    </row>
    <row r="701" ht="15.75" customHeight="1" s="360">
      <c r="A701" s="77" t="n"/>
      <c r="B701" s="77" t="n"/>
      <c r="C701" s="77" t="n"/>
      <c r="D701" s="77" t="n"/>
      <c r="E701" s="77" t="n"/>
    </row>
    <row r="702" ht="15.75" customHeight="1" s="360">
      <c r="A702" s="77" t="n"/>
      <c r="B702" s="77" t="n"/>
      <c r="C702" s="77" t="n"/>
      <c r="D702" s="77" t="n"/>
      <c r="E702" s="77" t="n"/>
    </row>
    <row r="703" ht="15.75" customHeight="1" s="360">
      <c r="A703" s="77" t="n"/>
      <c r="B703" s="77" t="n"/>
      <c r="C703" s="77" t="n"/>
      <c r="D703" s="77" t="n"/>
      <c r="E703" s="77" t="n"/>
    </row>
    <row r="704" ht="15.75" customHeight="1" s="360">
      <c r="A704" s="77" t="n"/>
      <c r="B704" s="77" t="n"/>
      <c r="C704" s="77" t="n"/>
      <c r="D704" s="77" t="n"/>
      <c r="E704" s="77" t="n"/>
    </row>
    <row r="705" ht="15.75" customHeight="1" s="360">
      <c r="A705" s="77" t="n"/>
      <c r="B705" s="77" t="n"/>
      <c r="C705" s="77" t="n"/>
      <c r="D705" s="77" t="n"/>
      <c r="E705" s="77" t="n"/>
    </row>
    <row r="706" ht="15.75" customHeight="1" s="360">
      <c r="A706" s="77" t="n"/>
      <c r="B706" s="77" t="n"/>
      <c r="C706" s="77" t="n"/>
      <c r="D706" s="77" t="n"/>
      <c r="E706" s="77" t="n"/>
    </row>
    <row r="707" ht="15.75" customHeight="1" s="360">
      <c r="A707" s="77" t="n"/>
      <c r="B707" s="77" t="n"/>
      <c r="C707" s="77" t="n"/>
      <c r="D707" s="77" t="n"/>
      <c r="E707" s="77" t="n"/>
    </row>
    <row r="708" ht="15.75" customHeight="1" s="360">
      <c r="A708" s="77" t="n"/>
      <c r="B708" s="77" t="n"/>
      <c r="C708" s="77" t="n"/>
      <c r="D708" s="77" t="n"/>
      <c r="E708" s="77" t="n"/>
    </row>
    <row r="709" ht="15.75" customHeight="1" s="360">
      <c r="A709" s="77" t="n"/>
      <c r="B709" s="77" t="n"/>
      <c r="C709" s="77" t="n"/>
      <c r="D709" s="77" t="n"/>
      <c r="E709" s="77" t="n"/>
    </row>
    <row r="710" ht="15.75" customHeight="1" s="360">
      <c r="A710" s="77" t="n"/>
      <c r="B710" s="77" t="n"/>
      <c r="C710" s="77" t="n"/>
      <c r="D710" s="77" t="n"/>
      <c r="E710" s="77" t="n"/>
    </row>
    <row r="711" ht="15.75" customHeight="1" s="360">
      <c r="A711" s="77" t="n"/>
      <c r="B711" s="77" t="n"/>
      <c r="C711" s="77" t="n"/>
      <c r="D711" s="77" t="n"/>
      <c r="E711" s="77" t="n"/>
    </row>
    <row r="712" ht="15.75" customHeight="1" s="360">
      <c r="A712" s="77" t="n"/>
      <c r="B712" s="77" t="n"/>
      <c r="C712" s="77" t="n"/>
      <c r="D712" s="77" t="n"/>
      <c r="E712" s="77" t="n"/>
    </row>
    <row r="713" ht="15.75" customHeight="1" s="360">
      <c r="A713" s="77" t="n"/>
      <c r="B713" s="77" t="n"/>
      <c r="C713" s="77" t="n"/>
      <c r="D713" s="77" t="n"/>
      <c r="E713" s="77" t="n"/>
    </row>
    <row r="714" ht="15.75" customHeight="1" s="360">
      <c r="A714" s="77" t="n"/>
      <c r="B714" s="77" t="n"/>
      <c r="C714" s="77" t="n"/>
      <c r="D714" s="77" t="n"/>
      <c r="E714" s="77" t="n"/>
    </row>
    <row r="715" ht="15.75" customHeight="1" s="360">
      <c r="A715" s="77" t="n"/>
      <c r="B715" s="77" t="n"/>
      <c r="C715" s="77" t="n"/>
      <c r="D715" s="77" t="n"/>
      <c r="E715" s="77" t="n"/>
    </row>
    <row r="716" ht="15.75" customHeight="1" s="360">
      <c r="A716" s="77" t="n"/>
      <c r="B716" s="77" t="n"/>
      <c r="C716" s="77" t="n"/>
      <c r="D716" s="77" t="n"/>
      <c r="E716" s="77" t="n"/>
    </row>
    <row r="717" ht="15.75" customHeight="1" s="360">
      <c r="A717" s="77" t="n"/>
      <c r="B717" s="77" t="n"/>
      <c r="C717" s="77" t="n"/>
      <c r="D717" s="77" t="n"/>
      <c r="E717" s="77" t="n"/>
    </row>
    <row r="718" ht="15.75" customHeight="1" s="360">
      <c r="A718" s="77" t="n"/>
      <c r="B718" s="77" t="n"/>
      <c r="C718" s="77" t="n"/>
      <c r="D718" s="77" t="n"/>
      <c r="E718" s="77" t="n"/>
    </row>
    <row r="719" ht="15.75" customHeight="1" s="360">
      <c r="A719" s="77" t="n"/>
      <c r="B719" s="77" t="n"/>
      <c r="C719" s="77" t="n"/>
      <c r="D719" s="77" t="n"/>
      <c r="E719" s="77" t="n"/>
    </row>
    <row r="720" ht="15.75" customHeight="1" s="360">
      <c r="A720" s="77" t="n"/>
      <c r="B720" s="77" t="n"/>
      <c r="C720" s="77" t="n"/>
      <c r="D720" s="77" t="n"/>
      <c r="E720" s="77" t="n"/>
    </row>
    <row r="721" ht="15.75" customHeight="1" s="360">
      <c r="A721" s="77" t="n"/>
      <c r="B721" s="77" t="n"/>
      <c r="C721" s="77" t="n"/>
      <c r="D721" s="77" t="n"/>
      <c r="E721" s="77" t="n"/>
    </row>
    <row r="722" ht="15.75" customHeight="1" s="360">
      <c r="A722" s="77" t="n"/>
      <c r="B722" s="77" t="n"/>
      <c r="C722" s="77" t="n"/>
      <c r="D722" s="77" t="n"/>
      <c r="E722" s="77" t="n"/>
    </row>
    <row r="723" ht="15.75" customHeight="1" s="360">
      <c r="A723" s="77" t="n"/>
      <c r="B723" s="77" t="n"/>
      <c r="C723" s="77" t="n"/>
      <c r="D723" s="77" t="n"/>
      <c r="E723" s="77" t="n"/>
    </row>
    <row r="724" ht="15.75" customHeight="1" s="360">
      <c r="A724" s="77" t="n"/>
      <c r="B724" s="77" t="n"/>
      <c r="C724" s="77" t="n"/>
      <c r="D724" s="77" t="n"/>
      <c r="E724" s="77" t="n"/>
    </row>
    <row r="725" ht="15.75" customHeight="1" s="360">
      <c r="A725" s="77" t="n"/>
      <c r="B725" s="77" t="n"/>
      <c r="C725" s="77" t="n"/>
      <c r="D725" s="77" t="n"/>
      <c r="E725" s="77" t="n"/>
    </row>
    <row r="726" ht="15.75" customHeight="1" s="360">
      <c r="A726" s="77" t="n"/>
      <c r="B726" s="77" t="n"/>
      <c r="C726" s="77" t="n"/>
      <c r="D726" s="77" t="n"/>
      <c r="E726" s="77" t="n"/>
    </row>
    <row r="727" ht="15.75" customHeight="1" s="360">
      <c r="A727" s="77" t="n"/>
      <c r="B727" s="77" t="n"/>
      <c r="C727" s="77" t="n"/>
      <c r="D727" s="77" t="n"/>
      <c r="E727" s="77" t="n"/>
    </row>
    <row r="728" ht="15.75" customHeight="1" s="360">
      <c r="A728" s="77" t="n"/>
      <c r="B728" s="77" t="n"/>
      <c r="C728" s="77" t="n"/>
      <c r="D728" s="77" t="n"/>
      <c r="E728" s="77" t="n"/>
    </row>
    <row r="729" ht="15.75" customHeight="1" s="360">
      <c r="A729" s="77" t="n"/>
      <c r="B729" s="77" t="n"/>
      <c r="C729" s="77" t="n"/>
      <c r="D729" s="77" t="n"/>
      <c r="E729" s="77" t="n"/>
    </row>
    <row r="730" ht="15.75" customHeight="1" s="360">
      <c r="A730" s="77" t="n"/>
      <c r="B730" s="77" t="n"/>
      <c r="C730" s="77" t="n"/>
      <c r="D730" s="77" t="n"/>
      <c r="E730" s="77" t="n"/>
    </row>
    <row r="731" ht="15.75" customHeight="1" s="360">
      <c r="A731" s="77" t="n"/>
      <c r="B731" s="77" t="n"/>
      <c r="C731" s="77" t="n"/>
      <c r="D731" s="77" t="n"/>
      <c r="E731" s="77" t="n"/>
    </row>
    <row r="732" ht="15.75" customHeight="1" s="360">
      <c r="A732" s="77" t="n"/>
      <c r="B732" s="77" t="n"/>
      <c r="C732" s="77" t="n"/>
      <c r="D732" s="77" t="n"/>
      <c r="E732" s="77" t="n"/>
    </row>
    <row r="733" ht="15.75" customHeight="1" s="360">
      <c r="A733" s="77" t="n"/>
      <c r="B733" s="77" t="n"/>
      <c r="C733" s="77" t="n"/>
      <c r="D733" s="77" t="n"/>
      <c r="E733" s="77" t="n"/>
    </row>
    <row r="734" ht="15.75" customHeight="1" s="360">
      <c r="A734" s="77" t="n"/>
      <c r="B734" s="77" t="n"/>
      <c r="C734" s="77" t="n"/>
      <c r="D734" s="77" t="n"/>
      <c r="E734" s="77" t="n"/>
    </row>
    <row r="735" ht="15.75" customHeight="1" s="360">
      <c r="A735" s="77" t="n"/>
      <c r="B735" s="77" t="n"/>
      <c r="C735" s="77" t="n"/>
      <c r="D735" s="77" t="n"/>
      <c r="E735" s="77" t="n"/>
    </row>
    <row r="736" ht="15.75" customHeight="1" s="360">
      <c r="A736" s="77" t="n"/>
      <c r="B736" s="77" t="n"/>
      <c r="C736" s="77" t="n"/>
      <c r="D736" s="77" t="n"/>
      <c r="E736" s="77" t="n"/>
    </row>
    <row r="737" ht="15.75" customHeight="1" s="360">
      <c r="A737" s="77" t="n"/>
      <c r="B737" s="77" t="n"/>
      <c r="C737" s="77" t="n"/>
      <c r="D737" s="77" t="n"/>
      <c r="E737" s="77" t="n"/>
    </row>
    <row r="738" ht="15.75" customHeight="1" s="360">
      <c r="A738" s="77" t="n"/>
      <c r="B738" s="77" t="n"/>
      <c r="C738" s="77" t="n"/>
      <c r="D738" s="77" t="n"/>
      <c r="E738" s="77" t="n"/>
    </row>
    <row r="739" ht="15.75" customHeight="1" s="360">
      <c r="A739" s="77" t="n"/>
      <c r="B739" s="77" t="n"/>
      <c r="C739" s="77" t="n"/>
      <c r="D739" s="77" t="n"/>
      <c r="E739" s="77" t="n"/>
    </row>
    <row r="740" ht="15.75" customHeight="1" s="360">
      <c r="A740" s="77" t="n"/>
      <c r="B740" s="77" t="n"/>
      <c r="C740" s="77" t="n"/>
      <c r="D740" s="77" t="n"/>
      <c r="E740" s="77" t="n"/>
    </row>
    <row r="741" ht="15.75" customHeight="1" s="360">
      <c r="A741" s="77" t="n"/>
      <c r="B741" s="77" t="n"/>
      <c r="C741" s="77" t="n"/>
      <c r="D741" s="77" t="n"/>
      <c r="E741" s="77" t="n"/>
    </row>
    <row r="742" ht="15.75" customHeight="1" s="360">
      <c r="A742" s="77" t="n"/>
      <c r="B742" s="77" t="n"/>
      <c r="C742" s="77" t="n"/>
      <c r="D742" s="77" t="n"/>
      <c r="E742" s="77" t="n"/>
    </row>
    <row r="743" ht="15.75" customHeight="1" s="360">
      <c r="A743" s="77" t="n"/>
      <c r="B743" s="77" t="n"/>
      <c r="C743" s="77" t="n"/>
      <c r="D743" s="77" t="n"/>
      <c r="E743" s="77" t="n"/>
    </row>
    <row r="744" ht="15.75" customHeight="1" s="360">
      <c r="A744" s="77" t="n"/>
      <c r="B744" s="77" t="n"/>
      <c r="C744" s="77" t="n"/>
      <c r="D744" s="77" t="n"/>
      <c r="E744" s="77" t="n"/>
    </row>
    <row r="745" ht="15.75" customHeight="1" s="360">
      <c r="A745" s="77" t="n"/>
      <c r="B745" s="77" t="n"/>
      <c r="C745" s="77" t="n"/>
      <c r="D745" s="77" t="n"/>
      <c r="E745" s="77" t="n"/>
    </row>
    <row r="746" ht="15.75" customHeight="1" s="360">
      <c r="A746" s="77" t="n"/>
      <c r="B746" s="77" t="n"/>
      <c r="C746" s="77" t="n"/>
      <c r="D746" s="77" t="n"/>
      <c r="E746" s="77" t="n"/>
    </row>
    <row r="747" ht="15.75" customHeight="1" s="360">
      <c r="A747" s="77" t="n"/>
      <c r="B747" s="77" t="n"/>
      <c r="C747" s="77" t="n"/>
      <c r="D747" s="77" t="n"/>
      <c r="E747" s="77" t="n"/>
    </row>
    <row r="748" ht="15.75" customHeight="1" s="360">
      <c r="A748" s="77" t="n"/>
      <c r="B748" s="77" t="n"/>
      <c r="C748" s="77" t="n"/>
      <c r="D748" s="77" t="n"/>
      <c r="E748" s="77" t="n"/>
    </row>
    <row r="749" ht="15.75" customHeight="1" s="360">
      <c r="A749" s="77" t="n"/>
      <c r="B749" s="77" t="n"/>
      <c r="C749" s="77" t="n"/>
      <c r="D749" s="77" t="n"/>
      <c r="E749" s="77" t="n"/>
    </row>
    <row r="750" ht="15.75" customHeight="1" s="360">
      <c r="A750" s="77" t="n"/>
      <c r="B750" s="77" t="n"/>
      <c r="C750" s="77" t="n"/>
      <c r="D750" s="77" t="n"/>
      <c r="E750" s="77" t="n"/>
    </row>
    <row r="751" ht="15.75" customHeight="1" s="360">
      <c r="A751" s="77" t="n"/>
      <c r="B751" s="77" t="n"/>
      <c r="C751" s="77" t="n"/>
      <c r="D751" s="77" t="n"/>
      <c r="E751" s="77" t="n"/>
    </row>
    <row r="752" ht="15.75" customHeight="1" s="360">
      <c r="A752" s="77" t="n"/>
      <c r="B752" s="77" t="n"/>
      <c r="C752" s="77" t="n"/>
      <c r="D752" s="77" t="n"/>
      <c r="E752" s="77" t="n"/>
    </row>
    <row r="753" ht="15.75" customHeight="1" s="360">
      <c r="A753" s="77" t="n"/>
      <c r="B753" s="77" t="n"/>
      <c r="C753" s="77" t="n"/>
      <c r="D753" s="77" t="n"/>
      <c r="E753" s="77" t="n"/>
    </row>
    <row r="754" ht="15.75" customHeight="1" s="360">
      <c r="A754" s="77" t="n"/>
      <c r="B754" s="77" t="n"/>
      <c r="C754" s="77" t="n"/>
      <c r="D754" s="77" t="n"/>
      <c r="E754" s="77" t="n"/>
    </row>
    <row r="755" ht="15.75" customHeight="1" s="360">
      <c r="A755" s="77" t="n"/>
      <c r="B755" s="77" t="n"/>
      <c r="C755" s="77" t="n"/>
      <c r="D755" s="77" t="n"/>
      <c r="E755" s="77" t="n"/>
    </row>
    <row r="756" ht="15.75" customHeight="1" s="360">
      <c r="A756" s="77" t="n"/>
      <c r="B756" s="77" t="n"/>
      <c r="C756" s="77" t="n"/>
      <c r="D756" s="77" t="n"/>
      <c r="E756" s="77" t="n"/>
    </row>
    <row r="757" ht="15.75" customHeight="1" s="360">
      <c r="A757" s="77" t="n"/>
      <c r="B757" s="77" t="n"/>
      <c r="C757" s="77" t="n"/>
      <c r="D757" s="77" t="n"/>
      <c r="E757" s="77" t="n"/>
    </row>
    <row r="758" ht="15.75" customHeight="1" s="360">
      <c r="A758" s="77" t="n"/>
      <c r="B758" s="77" t="n"/>
      <c r="C758" s="77" t="n"/>
      <c r="D758" s="77" t="n"/>
      <c r="E758" s="77" t="n"/>
    </row>
    <row r="759" ht="15.75" customHeight="1" s="360">
      <c r="A759" s="77" t="n"/>
      <c r="B759" s="77" t="n"/>
      <c r="C759" s="77" t="n"/>
      <c r="D759" s="77" t="n"/>
      <c r="E759" s="77" t="n"/>
    </row>
    <row r="760" ht="15.75" customHeight="1" s="360">
      <c r="A760" s="77" t="n"/>
      <c r="B760" s="77" t="n"/>
      <c r="C760" s="77" t="n"/>
      <c r="D760" s="77" t="n"/>
      <c r="E760" s="77" t="n"/>
    </row>
    <row r="761" ht="15.75" customHeight="1" s="360">
      <c r="A761" s="77" t="n"/>
      <c r="B761" s="77" t="n"/>
      <c r="C761" s="77" t="n"/>
      <c r="D761" s="77" t="n"/>
      <c r="E761" s="77" t="n"/>
    </row>
    <row r="762" ht="15.75" customHeight="1" s="360">
      <c r="A762" s="77" t="n"/>
      <c r="B762" s="77" t="n"/>
      <c r="C762" s="77" t="n"/>
      <c r="D762" s="77" t="n"/>
      <c r="E762" s="77" t="n"/>
    </row>
    <row r="763" ht="15.75" customHeight="1" s="360">
      <c r="A763" s="77" t="n"/>
      <c r="B763" s="77" t="n"/>
      <c r="C763" s="77" t="n"/>
      <c r="D763" s="77" t="n"/>
      <c r="E763" s="77" t="n"/>
    </row>
    <row r="764" ht="15.75" customHeight="1" s="360">
      <c r="A764" s="77" t="n"/>
      <c r="B764" s="77" t="n"/>
      <c r="C764" s="77" t="n"/>
      <c r="D764" s="77" t="n"/>
      <c r="E764" s="77" t="n"/>
    </row>
    <row r="765" ht="15.75" customHeight="1" s="360">
      <c r="A765" s="77" t="n"/>
      <c r="B765" s="77" t="n"/>
      <c r="C765" s="77" t="n"/>
      <c r="D765" s="77" t="n"/>
      <c r="E765" s="77" t="n"/>
    </row>
    <row r="766" ht="15.75" customHeight="1" s="360">
      <c r="A766" s="77" t="n"/>
      <c r="B766" s="77" t="n"/>
      <c r="C766" s="77" t="n"/>
      <c r="D766" s="77" t="n"/>
      <c r="E766" s="77" t="n"/>
    </row>
    <row r="767" ht="15.75" customHeight="1" s="360">
      <c r="A767" s="77" t="n"/>
      <c r="B767" s="77" t="n"/>
      <c r="C767" s="77" t="n"/>
      <c r="D767" s="77" t="n"/>
      <c r="E767" s="77" t="n"/>
    </row>
    <row r="768" ht="15.75" customHeight="1" s="360">
      <c r="A768" s="77" t="n"/>
      <c r="B768" s="77" t="n"/>
      <c r="C768" s="77" t="n"/>
      <c r="D768" s="77" t="n"/>
      <c r="E768" s="77" t="n"/>
    </row>
    <row r="769" ht="15.75" customHeight="1" s="360">
      <c r="A769" s="77" t="n"/>
      <c r="B769" s="77" t="n"/>
      <c r="C769" s="77" t="n"/>
      <c r="D769" s="77" t="n"/>
      <c r="E769" s="77" t="n"/>
    </row>
    <row r="770" ht="15.75" customHeight="1" s="360">
      <c r="A770" s="77" t="n"/>
      <c r="B770" s="77" t="n"/>
      <c r="C770" s="77" t="n"/>
      <c r="D770" s="77" t="n"/>
      <c r="E770" s="77" t="n"/>
    </row>
    <row r="771" ht="15.75" customHeight="1" s="360">
      <c r="A771" s="77" t="n"/>
      <c r="B771" s="77" t="n"/>
      <c r="C771" s="77" t="n"/>
      <c r="D771" s="77" t="n"/>
      <c r="E771" s="77" t="n"/>
    </row>
    <row r="772" ht="15.75" customHeight="1" s="360">
      <c r="A772" s="77" t="n"/>
      <c r="B772" s="77" t="n"/>
      <c r="C772" s="77" t="n"/>
      <c r="D772" s="77" t="n"/>
      <c r="E772" s="77" t="n"/>
    </row>
    <row r="773" ht="15.75" customHeight="1" s="360">
      <c r="A773" s="77" t="n"/>
      <c r="B773" s="77" t="n"/>
      <c r="C773" s="77" t="n"/>
      <c r="D773" s="77" t="n"/>
      <c r="E773" s="77" t="n"/>
    </row>
    <row r="774" ht="15.75" customHeight="1" s="360">
      <c r="A774" s="77" t="n"/>
      <c r="B774" s="77" t="n"/>
      <c r="C774" s="77" t="n"/>
      <c r="D774" s="77" t="n"/>
      <c r="E774" s="77" t="n"/>
    </row>
    <row r="775" ht="15.75" customHeight="1" s="360">
      <c r="A775" s="77" t="n"/>
      <c r="B775" s="77" t="n"/>
      <c r="C775" s="77" t="n"/>
      <c r="D775" s="77" t="n"/>
      <c r="E775" s="77" t="n"/>
    </row>
    <row r="776" ht="15.75" customHeight="1" s="360">
      <c r="A776" s="77" t="n"/>
      <c r="B776" s="77" t="n"/>
      <c r="C776" s="77" t="n"/>
      <c r="D776" s="77" t="n"/>
      <c r="E776" s="77" t="n"/>
    </row>
    <row r="777" ht="15.75" customHeight="1" s="360">
      <c r="A777" s="77" t="n"/>
      <c r="B777" s="77" t="n"/>
      <c r="C777" s="77" t="n"/>
      <c r="D777" s="77" t="n"/>
      <c r="E777" s="77" t="n"/>
    </row>
    <row r="778" ht="15.75" customHeight="1" s="360">
      <c r="A778" s="77" t="n"/>
      <c r="B778" s="77" t="n"/>
      <c r="C778" s="77" t="n"/>
      <c r="D778" s="77" t="n"/>
      <c r="E778" s="77" t="n"/>
    </row>
    <row r="779" ht="15.75" customHeight="1" s="360">
      <c r="A779" s="77" t="n"/>
      <c r="B779" s="77" t="n"/>
      <c r="C779" s="77" t="n"/>
      <c r="D779" s="77" t="n"/>
      <c r="E779" s="77" t="n"/>
    </row>
    <row r="780" ht="15.75" customHeight="1" s="360">
      <c r="A780" s="77" t="n"/>
      <c r="B780" s="77" t="n"/>
      <c r="C780" s="77" t="n"/>
      <c r="D780" s="77" t="n"/>
      <c r="E780" s="77" t="n"/>
    </row>
    <row r="781" ht="15.75" customHeight="1" s="360">
      <c r="A781" s="77" t="n"/>
      <c r="B781" s="77" t="n"/>
      <c r="C781" s="77" t="n"/>
      <c r="D781" s="77" t="n"/>
      <c r="E781" s="77" t="n"/>
    </row>
    <row r="782" ht="15.75" customHeight="1" s="360">
      <c r="A782" s="77" t="n"/>
      <c r="B782" s="77" t="n"/>
      <c r="C782" s="77" t="n"/>
      <c r="D782" s="77" t="n"/>
      <c r="E782" s="77" t="n"/>
    </row>
    <row r="783" ht="15.75" customHeight="1" s="360">
      <c r="A783" s="77" t="n"/>
      <c r="B783" s="77" t="n"/>
      <c r="C783" s="77" t="n"/>
      <c r="D783" s="77" t="n"/>
      <c r="E783" s="77" t="n"/>
    </row>
    <row r="784" ht="15.75" customHeight="1" s="360">
      <c r="A784" s="77" t="n"/>
      <c r="B784" s="77" t="n"/>
      <c r="C784" s="77" t="n"/>
      <c r="D784" s="77" t="n"/>
      <c r="E784" s="77" t="n"/>
    </row>
    <row r="785" ht="15.75" customHeight="1" s="360">
      <c r="A785" s="77" t="n"/>
      <c r="B785" s="77" t="n"/>
      <c r="C785" s="77" t="n"/>
      <c r="D785" s="77" t="n"/>
      <c r="E785" s="77" t="n"/>
    </row>
    <row r="786" ht="15.75" customHeight="1" s="360">
      <c r="A786" s="77" t="n"/>
      <c r="B786" s="77" t="n"/>
      <c r="C786" s="77" t="n"/>
      <c r="D786" s="77" t="n"/>
      <c r="E786" s="77" t="n"/>
    </row>
    <row r="787" ht="15.75" customHeight="1" s="360">
      <c r="A787" s="77" t="n"/>
      <c r="B787" s="77" t="n"/>
      <c r="C787" s="77" t="n"/>
      <c r="D787" s="77" t="n"/>
      <c r="E787" s="77" t="n"/>
    </row>
    <row r="788" ht="15.75" customHeight="1" s="360">
      <c r="A788" s="77" t="n"/>
      <c r="B788" s="77" t="n"/>
      <c r="C788" s="77" t="n"/>
      <c r="D788" s="77" t="n"/>
      <c r="E788" s="77" t="n"/>
    </row>
    <row r="789" ht="15.75" customHeight="1" s="360">
      <c r="A789" s="77" t="n"/>
      <c r="B789" s="77" t="n"/>
      <c r="C789" s="77" t="n"/>
      <c r="D789" s="77" t="n"/>
      <c r="E789" s="77" t="n"/>
    </row>
    <row r="790" ht="15.75" customHeight="1" s="360">
      <c r="A790" s="77" t="n"/>
      <c r="B790" s="77" t="n"/>
      <c r="C790" s="77" t="n"/>
      <c r="D790" s="77" t="n"/>
      <c r="E790" s="77" t="n"/>
    </row>
    <row r="791" ht="15.75" customHeight="1" s="360">
      <c r="A791" s="77" t="n"/>
      <c r="B791" s="77" t="n"/>
      <c r="C791" s="77" t="n"/>
      <c r="D791" s="77" t="n"/>
      <c r="E791" s="77" t="n"/>
    </row>
    <row r="792" ht="15.75" customHeight="1" s="360">
      <c r="A792" s="77" t="n"/>
      <c r="B792" s="77" t="n"/>
      <c r="C792" s="77" t="n"/>
      <c r="D792" s="77" t="n"/>
      <c r="E792" s="77" t="n"/>
    </row>
    <row r="793" ht="15.75" customHeight="1" s="360">
      <c r="A793" s="77" t="n"/>
      <c r="B793" s="77" t="n"/>
      <c r="C793" s="77" t="n"/>
      <c r="D793" s="77" t="n"/>
      <c r="E793" s="77" t="n"/>
    </row>
    <row r="794" ht="15.75" customHeight="1" s="360">
      <c r="A794" s="77" t="n"/>
      <c r="B794" s="77" t="n"/>
      <c r="C794" s="77" t="n"/>
      <c r="D794" s="77" t="n"/>
      <c r="E794" s="77" t="n"/>
    </row>
    <row r="795" ht="15.75" customHeight="1" s="360">
      <c r="A795" s="77" t="n"/>
      <c r="B795" s="77" t="n"/>
      <c r="C795" s="77" t="n"/>
      <c r="D795" s="77" t="n"/>
      <c r="E795" s="77" t="n"/>
    </row>
    <row r="796" ht="15.75" customHeight="1" s="360">
      <c r="A796" s="77" t="n"/>
      <c r="B796" s="77" t="n"/>
      <c r="C796" s="77" t="n"/>
      <c r="D796" s="77" t="n"/>
      <c r="E796" s="77" t="n"/>
    </row>
    <row r="797" ht="15.75" customHeight="1" s="360">
      <c r="A797" s="77" t="n"/>
      <c r="B797" s="77" t="n"/>
      <c r="C797" s="77" t="n"/>
      <c r="D797" s="77" t="n"/>
      <c r="E797" s="77" t="n"/>
    </row>
    <row r="798" ht="15.75" customHeight="1" s="360">
      <c r="A798" s="77" t="n"/>
      <c r="B798" s="77" t="n"/>
      <c r="C798" s="77" t="n"/>
      <c r="D798" s="77" t="n"/>
      <c r="E798" s="77" t="n"/>
    </row>
    <row r="799" ht="15.75" customHeight="1" s="360">
      <c r="A799" s="77" t="n"/>
      <c r="B799" s="77" t="n"/>
      <c r="C799" s="77" t="n"/>
      <c r="D799" s="77" t="n"/>
      <c r="E799" s="77" t="n"/>
    </row>
    <row r="800" ht="15.75" customHeight="1" s="360">
      <c r="A800" s="77" t="n"/>
      <c r="B800" s="77" t="n"/>
      <c r="C800" s="77" t="n"/>
      <c r="D800" s="77" t="n"/>
      <c r="E800" s="77" t="n"/>
    </row>
    <row r="801" ht="15.75" customHeight="1" s="360">
      <c r="A801" s="77" t="n"/>
      <c r="B801" s="77" t="n"/>
      <c r="C801" s="77" t="n"/>
      <c r="D801" s="77" t="n"/>
      <c r="E801" s="77" t="n"/>
    </row>
    <row r="802" ht="15.75" customHeight="1" s="360">
      <c r="A802" s="77" t="n"/>
      <c r="B802" s="77" t="n"/>
      <c r="C802" s="77" t="n"/>
      <c r="D802" s="77" t="n"/>
      <c r="E802" s="77" t="n"/>
    </row>
    <row r="803" ht="15.75" customHeight="1" s="360">
      <c r="A803" s="77" t="n"/>
      <c r="B803" s="77" t="n"/>
      <c r="C803" s="77" t="n"/>
      <c r="D803" s="77" t="n"/>
      <c r="E803" s="77" t="n"/>
    </row>
    <row r="804" ht="15.75" customHeight="1" s="360">
      <c r="A804" s="77" t="n"/>
      <c r="B804" s="77" t="n"/>
      <c r="C804" s="77" t="n"/>
      <c r="D804" s="77" t="n"/>
      <c r="E804" s="77" t="n"/>
    </row>
    <row r="805" ht="15.75" customHeight="1" s="360">
      <c r="A805" s="77" t="n"/>
      <c r="B805" s="77" t="n"/>
      <c r="C805" s="77" t="n"/>
      <c r="D805" s="77" t="n"/>
      <c r="E805" s="77" t="n"/>
    </row>
    <row r="806" ht="15.75" customHeight="1" s="360">
      <c r="A806" s="77" t="n"/>
      <c r="B806" s="77" t="n"/>
      <c r="C806" s="77" t="n"/>
      <c r="D806" s="77" t="n"/>
      <c r="E806" s="77" t="n"/>
    </row>
    <row r="807" ht="15.75" customHeight="1" s="360">
      <c r="A807" s="77" t="n"/>
      <c r="B807" s="77" t="n"/>
      <c r="C807" s="77" t="n"/>
      <c r="D807" s="77" t="n"/>
      <c r="E807" s="77" t="n"/>
    </row>
    <row r="808" ht="15.75" customHeight="1" s="360">
      <c r="A808" s="77" t="n"/>
      <c r="B808" s="77" t="n"/>
      <c r="C808" s="77" t="n"/>
      <c r="D808" s="77" t="n"/>
      <c r="E808" s="77" t="n"/>
    </row>
    <row r="809" ht="15.75" customHeight="1" s="360">
      <c r="A809" s="77" t="n"/>
      <c r="B809" s="77" t="n"/>
      <c r="C809" s="77" t="n"/>
      <c r="D809" s="77" t="n"/>
      <c r="E809" s="77" t="n"/>
    </row>
    <row r="810" ht="15.75" customHeight="1" s="360">
      <c r="A810" s="77" t="n"/>
      <c r="B810" s="77" t="n"/>
      <c r="C810" s="77" t="n"/>
      <c r="D810" s="77" t="n"/>
      <c r="E810" s="77" t="n"/>
    </row>
    <row r="811" ht="15.75" customHeight="1" s="360">
      <c r="A811" s="77" t="n"/>
      <c r="B811" s="77" t="n"/>
      <c r="C811" s="77" t="n"/>
      <c r="D811" s="77" t="n"/>
      <c r="E811" s="77" t="n"/>
    </row>
    <row r="812" ht="15.75" customHeight="1" s="360">
      <c r="A812" s="77" t="n"/>
      <c r="B812" s="77" t="n"/>
      <c r="C812" s="77" t="n"/>
      <c r="D812" s="77" t="n"/>
      <c r="E812" s="77" t="n"/>
    </row>
    <row r="813" ht="15.75" customHeight="1" s="360">
      <c r="A813" s="77" t="n"/>
      <c r="B813" s="77" t="n"/>
      <c r="C813" s="77" t="n"/>
      <c r="D813" s="77" t="n"/>
      <c r="E813" s="77" t="n"/>
    </row>
    <row r="814" ht="15.75" customHeight="1" s="360">
      <c r="A814" s="77" t="n"/>
      <c r="B814" s="77" t="n"/>
      <c r="C814" s="77" t="n"/>
      <c r="D814" s="77" t="n"/>
      <c r="E814" s="77" t="n"/>
    </row>
    <row r="815" ht="15.75" customHeight="1" s="360">
      <c r="A815" s="77" t="n"/>
      <c r="B815" s="77" t="n"/>
      <c r="C815" s="77" t="n"/>
      <c r="D815" s="77" t="n"/>
      <c r="E815" s="77" t="n"/>
    </row>
    <row r="816" ht="15.75" customHeight="1" s="360">
      <c r="A816" s="77" t="n"/>
      <c r="B816" s="77" t="n"/>
      <c r="C816" s="77" t="n"/>
      <c r="D816" s="77" t="n"/>
      <c r="E816" s="77" t="n"/>
    </row>
    <row r="817" ht="15.75" customHeight="1" s="360">
      <c r="A817" s="77" t="n"/>
      <c r="B817" s="77" t="n"/>
      <c r="C817" s="77" t="n"/>
      <c r="D817" s="77" t="n"/>
      <c r="E817" s="77" t="n"/>
    </row>
    <row r="818" ht="15.75" customHeight="1" s="360">
      <c r="A818" s="77" t="n"/>
      <c r="B818" s="77" t="n"/>
      <c r="C818" s="77" t="n"/>
      <c r="D818" s="77" t="n"/>
      <c r="E818" s="77" t="n"/>
    </row>
    <row r="819" ht="15.75" customHeight="1" s="360">
      <c r="A819" s="77" t="n"/>
      <c r="B819" s="77" t="n"/>
      <c r="C819" s="77" t="n"/>
      <c r="D819" s="77" t="n"/>
      <c r="E819" s="77" t="n"/>
    </row>
    <row r="820" ht="15.75" customHeight="1" s="360">
      <c r="A820" s="77" t="n"/>
      <c r="B820" s="77" t="n"/>
      <c r="C820" s="77" t="n"/>
      <c r="D820" s="77" t="n"/>
      <c r="E820" s="77" t="n"/>
    </row>
    <row r="821" ht="15.75" customHeight="1" s="360">
      <c r="A821" s="77" t="n"/>
      <c r="B821" s="77" t="n"/>
      <c r="C821" s="77" t="n"/>
      <c r="D821" s="77" t="n"/>
      <c r="E821" s="77" t="n"/>
    </row>
    <row r="822" ht="15.75" customHeight="1" s="360">
      <c r="A822" s="77" t="n"/>
      <c r="B822" s="77" t="n"/>
      <c r="C822" s="77" t="n"/>
      <c r="D822" s="77" t="n"/>
      <c r="E822" s="77" t="n"/>
    </row>
    <row r="823" ht="15.75" customHeight="1" s="360">
      <c r="A823" s="77" t="n"/>
      <c r="B823" s="77" t="n"/>
      <c r="C823" s="77" t="n"/>
      <c r="D823" s="77" t="n"/>
      <c r="E823" s="77" t="n"/>
    </row>
    <row r="824" ht="15.75" customHeight="1" s="360">
      <c r="A824" s="77" t="n"/>
      <c r="B824" s="77" t="n"/>
      <c r="C824" s="77" t="n"/>
      <c r="D824" s="77" t="n"/>
      <c r="E824" s="77" t="n"/>
    </row>
    <row r="825" ht="15.75" customHeight="1" s="360">
      <c r="A825" s="77" t="n"/>
      <c r="B825" s="77" t="n"/>
      <c r="C825" s="77" t="n"/>
      <c r="D825" s="77" t="n"/>
      <c r="E825" s="77" t="n"/>
    </row>
    <row r="826" ht="15.75" customHeight="1" s="360">
      <c r="A826" s="77" t="n"/>
      <c r="B826" s="77" t="n"/>
      <c r="C826" s="77" t="n"/>
      <c r="D826" s="77" t="n"/>
      <c r="E826" s="77" t="n"/>
    </row>
    <row r="827" ht="15.75" customHeight="1" s="360">
      <c r="A827" s="77" t="n"/>
      <c r="B827" s="77" t="n"/>
      <c r="C827" s="77" t="n"/>
      <c r="D827" s="77" t="n"/>
      <c r="E827" s="77" t="n"/>
    </row>
    <row r="828" ht="15.75" customHeight="1" s="360">
      <c r="A828" s="77" t="n"/>
      <c r="B828" s="77" t="n"/>
      <c r="C828" s="77" t="n"/>
      <c r="D828" s="77" t="n"/>
      <c r="E828" s="77" t="n"/>
    </row>
    <row r="829" ht="15.75" customHeight="1" s="360">
      <c r="A829" s="77" t="n"/>
      <c r="B829" s="77" t="n"/>
      <c r="C829" s="77" t="n"/>
      <c r="D829" s="77" t="n"/>
      <c r="E829" s="77" t="n"/>
    </row>
    <row r="830" ht="15.75" customHeight="1" s="360">
      <c r="A830" s="77" t="n"/>
      <c r="B830" s="77" t="n"/>
      <c r="C830" s="77" t="n"/>
      <c r="D830" s="77" t="n"/>
      <c r="E830" s="77" t="n"/>
    </row>
    <row r="831" ht="15.75" customHeight="1" s="360">
      <c r="A831" s="77" t="n"/>
      <c r="B831" s="77" t="n"/>
      <c r="C831" s="77" t="n"/>
      <c r="D831" s="77" t="n"/>
      <c r="E831" s="77" t="n"/>
    </row>
    <row r="832" ht="15.75" customHeight="1" s="360">
      <c r="A832" s="77" t="n"/>
      <c r="B832" s="77" t="n"/>
      <c r="C832" s="77" t="n"/>
      <c r="D832" s="77" t="n"/>
      <c r="E832" s="77" t="n"/>
    </row>
    <row r="833" ht="15.75" customHeight="1" s="360">
      <c r="A833" s="77" t="n"/>
      <c r="B833" s="77" t="n"/>
      <c r="C833" s="77" t="n"/>
      <c r="D833" s="77" t="n"/>
      <c r="E833" s="77" t="n"/>
    </row>
    <row r="834" ht="15.75" customHeight="1" s="360">
      <c r="A834" s="77" t="n"/>
      <c r="B834" s="77" t="n"/>
      <c r="C834" s="77" t="n"/>
      <c r="D834" s="77" t="n"/>
      <c r="E834" s="77" t="n"/>
    </row>
    <row r="835" ht="15.75" customHeight="1" s="360">
      <c r="A835" s="77" t="n"/>
      <c r="B835" s="77" t="n"/>
      <c r="C835" s="77" t="n"/>
      <c r="D835" s="77" t="n"/>
      <c r="E835" s="77" t="n"/>
    </row>
    <row r="836" ht="15.75" customHeight="1" s="360">
      <c r="A836" s="77" t="n"/>
      <c r="B836" s="77" t="n"/>
      <c r="C836" s="77" t="n"/>
      <c r="D836" s="77" t="n"/>
      <c r="E836" s="77" t="n"/>
    </row>
    <row r="837" ht="15.75" customHeight="1" s="360">
      <c r="A837" s="77" t="n"/>
      <c r="B837" s="77" t="n"/>
      <c r="C837" s="77" t="n"/>
      <c r="D837" s="77" t="n"/>
      <c r="E837" s="77" t="n"/>
    </row>
    <row r="838" ht="15.75" customHeight="1" s="360">
      <c r="A838" s="77" t="n"/>
      <c r="B838" s="77" t="n"/>
      <c r="C838" s="77" t="n"/>
      <c r="D838" s="77" t="n"/>
      <c r="E838" s="77" t="n"/>
    </row>
    <row r="839" ht="15.75" customHeight="1" s="360">
      <c r="A839" s="77" t="n"/>
      <c r="B839" s="77" t="n"/>
      <c r="C839" s="77" t="n"/>
      <c r="D839" s="77" t="n"/>
      <c r="E839" s="77" t="n"/>
    </row>
    <row r="840" ht="15.75" customHeight="1" s="360">
      <c r="A840" s="77" t="n"/>
      <c r="B840" s="77" t="n"/>
      <c r="C840" s="77" t="n"/>
      <c r="D840" s="77" t="n"/>
      <c r="E840" s="77" t="n"/>
    </row>
    <row r="841" ht="15.75" customHeight="1" s="360">
      <c r="A841" s="77" t="n"/>
      <c r="B841" s="77" t="n"/>
      <c r="C841" s="77" t="n"/>
      <c r="D841" s="77" t="n"/>
      <c r="E841" s="77" t="n"/>
    </row>
    <row r="842" ht="15.75" customHeight="1" s="360">
      <c r="A842" s="77" t="n"/>
      <c r="B842" s="77" t="n"/>
      <c r="C842" s="77" t="n"/>
      <c r="D842" s="77" t="n"/>
      <c r="E842" s="77" t="n"/>
    </row>
    <row r="843" ht="15.75" customHeight="1" s="360">
      <c r="A843" s="77" t="n"/>
      <c r="B843" s="77" t="n"/>
      <c r="C843" s="77" t="n"/>
      <c r="D843" s="77" t="n"/>
      <c r="E843" s="77" t="n"/>
    </row>
    <row r="844" ht="15.75" customHeight="1" s="360">
      <c r="A844" s="77" t="n"/>
      <c r="B844" s="77" t="n"/>
      <c r="C844" s="77" t="n"/>
      <c r="D844" s="77" t="n"/>
      <c r="E844" s="77" t="n"/>
    </row>
    <row r="845" ht="15.75" customHeight="1" s="360">
      <c r="A845" s="77" t="n"/>
      <c r="B845" s="77" t="n"/>
      <c r="C845" s="77" t="n"/>
      <c r="D845" s="77" t="n"/>
      <c r="E845" s="77" t="n"/>
    </row>
    <row r="846" ht="15.75" customHeight="1" s="360">
      <c r="A846" s="77" t="n"/>
      <c r="B846" s="77" t="n"/>
      <c r="C846" s="77" t="n"/>
      <c r="D846" s="77" t="n"/>
      <c r="E846" s="77" t="n"/>
    </row>
    <row r="847" ht="15.75" customHeight="1" s="360">
      <c r="A847" s="77" t="n"/>
      <c r="B847" s="77" t="n"/>
      <c r="C847" s="77" t="n"/>
      <c r="D847" s="77" t="n"/>
      <c r="E847" s="77" t="n"/>
    </row>
    <row r="848" ht="15.75" customHeight="1" s="360">
      <c r="A848" s="77" t="n"/>
      <c r="B848" s="77" t="n"/>
      <c r="C848" s="77" t="n"/>
      <c r="D848" s="77" t="n"/>
      <c r="E848" s="77" t="n"/>
    </row>
    <row r="849" ht="15.75" customHeight="1" s="360">
      <c r="A849" s="77" t="n"/>
      <c r="B849" s="77" t="n"/>
      <c r="C849" s="77" t="n"/>
      <c r="D849" s="77" t="n"/>
      <c r="E849" s="77" t="n"/>
    </row>
    <row r="850" ht="15.75" customHeight="1" s="360">
      <c r="A850" s="77" t="n"/>
      <c r="B850" s="77" t="n"/>
      <c r="C850" s="77" t="n"/>
      <c r="D850" s="77" t="n"/>
      <c r="E850" s="77" t="n"/>
    </row>
    <row r="851" ht="15.75" customHeight="1" s="360">
      <c r="A851" s="77" t="n"/>
      <c r="B851" s="77" t="n"/>
      <c r="C851" s="77" t="n"/>
      <c r="D851" s="77" t="n"/>
      <c r="E851" s="77" t="n"/>
    </row>
    <row r="852" ht="15.75" customHeight="1" s="360">
      <c r="A852" s="77" t="n"/>
      <c r="B852" s="77" t="n"/>
      <c r="C852" s="77" t="n"/>
      <c r="D852" s="77" t="n"/>
      <c r="E852" s="77" t="n"/>
    </row>
    <row r="853" ht="15.75" customHeight="1" s="360">
      <c r="A853" s="77" t="n"/>
      <c r="B853" s="77" t="n"/>
      <c r="C853" s="77" t="n"/>
      <c r="D853" s="77" t="n"/>
      <c r="E853" s="77" t="n"/>
    </row>
    <row r="854" ht="15.75" customHeight="1" s="360">
      <c r="A854" s="77" t="n"/>
      <c r="B854" s="77" t="n"/>
      <c r="C854" s="77" t="n"/>
      <c r="D854" s="77" t="n"/>
      <c r="E854" s="77" t="n"/>
    </row>
    <row r="855" ht="15.75" customHeight="1" s="360">
      <c r="A855" s="77" t="n"/>
      <c r="B855" s="77" t="n"/>
      <c r="C855" s="77" t="n"/>
      <c r="D855" s="77" t="n"/>
      <c r="E855" s="77" t="n"/>
    </row>
    <row r="856" ht="15.75" customHeight="1" s="360">
      <c r="A856" s="77" t="n"/>
      <c r="B856" s="77" t="n"/>
      <c r="C856" s="77" t="n"/>
      <c r="D856" s="77" t="n"/>
      <c r="E856" s="77" t="n"/>
    </row>
    <row r="857" ht="15.75" customHeight="1" s="360">
      <c r="A857" s="77" t="n"/>
      <c r="B857" s="77" t="n"/>
      <c r="C857" s="77" t="n"/>
      <c r="D857" s="77" t="n"/>
      <c r="E857" s="77" t="n"/>
    </row>
    <row r="858" ht="15.75" customHeight="1" s="360">
      <c r="A858" s="77" t="n"/>
      <c r="B858" s="77" t="n"/>
      <c r="C858" s="77" t="n"/>
      <c r="D858" s="77" t="n"/>
      <c r="E858" s="77" t="n"/>
    </row>
    <row r="859" ht="15.75" customHeight="1" s="360">
      <c r="A859" s="77" t="n"/>
      <c r="B859" s="77" t="n"/>
      <c r="C859" s="77" t="n"/>
      <c r="D859" s="77" t="n"/>
      <c r="E859" s="77" t="n"/>
    </row>
    <row r="860" ht="15.75" customHeight="1" s="360">
      <c r="A860" s="77" t="n"/>
      <c r="B860" s="77" t="n"/>
      <c r="C860" s="77" t="n"/>
      <c r="D860" s="77" t="n"/>
      <c r="E860" s="77" t="n"/>
    </row>
    <row r="861" ht="15.75" customHeight="1" s="360">
      <c r="A861" s="77" t="n"/>
      <c r="B861" s="77" t="n"/>
      <c r="C861" s="77" t="n"/>
      <c r="D861" s="77" t="n"/>
      <c r="E861" s="77" t="n"/>
    </row>
    <row r="862" ht="15.75" customHeight="1" s="360">
      <c r="A862" s="77" t="n"/>
      <c r="B862" s="77" t="n"/>
      <c r="C862" s="77" t="n"/>
      <c r="D862" s="77" t="n"/>
      <c r="E862" s="77" t="n"/>
    </row>
    <row r="863" ht="15.75" customHeight="1" s="360">
      <c r="A863" s="77" t="n"/>
      <c r="B863" s="77" t="n"/>
      <c r="C863" s="77" t="n"/>
      <c r="D863" s="77" t="n"/>
      <c r="E863" s="77" t="n"/>
    </row>
    <row r="864" ht="15.75" customHeight="1" s="360">
      <c r="A864" s="77" t="n"/>
      <c r="B864" s="77" t="n"/>
      <c r="C864" s="77" t="n"/>
      <c r="D864" s="77" t="n"/>
      <c r="E864" s="77" t="n"/>
    </row>
    <row r="865" ht="15.75" customHeight="1" s="360">
      <c r="A865" s="77" t="n"/>
      <c r="B865" s="77" t="n"/>
      <c r="C865" s="77" t="n"/>
      <c r="D865" s="77" t="n"/>
      <c r="E865" s="77" t="n"/>
    </row>
    <row r="866" ht="15.75" customHeight="1" s="360">
      <c r="A866" s="77" t="n"/>
      <c r="B866" s="77" t="n"/>
      <c r="C866" s="77" t="n"/>
      <c r="D866" s="77" t="n"/>
      <c r="E866" s="77" t="n"/>
    </row>
    <row r="867" ht="15.75" customHeight="1" s="360">
      <c r="A867" s="77" t="n"/>
      <c r="B867" s="77" t="n"/>
      <c r="C867" s="77" t="n"/>
      <c r="D867" s="77" t="n"/>
      <c r="E867" s="77" t="n"/>
    </row>
    <row r="868" ht="15.75" customHeight="1" s="360">
      <c r="A868" s="77" t="n"/>
      <c r="B868" s="77" t="n"/>
      <c r="C868" s="77" t="n"/>
      <c r="D868" s="77" t="n"/>
      <c r="E868" s="77" t="n"/>
    </row>
    <row r="869" ht="15.75" customHeight="1" s="360">
      <c r="A869" s="77" t="n"/>
      <c r="B869" s="77" t="n"/>
      <c r="C869" s="77" t="n"/>
      <c r="D869" s="77" t="n"/>
      <c r="E869" s="77" t="n"/>
    </row>
    <row r="870" ht="15.75" customHeight="1" s="360">
      <c r="A870" s="77" t="n"/>
      <c r="B870" s="77" t="n"/>
      <c r="C870" s="77" t="n"/>
      <c r="D870" s="77" t="n"/>
      <c r="E870" s="77" t="n"/>
    </row>
    <row r="871" ht="15.75" customHeight="1" s="360">
      <c r="A871" s="77" t="n"/>
      <c r="B871" s="77" t="n"/>
      <c r="C871" s="77" t="n"/>
      <c r="D871" s="77" t="n"/>
      <c r="E871" s="77" t="n"/>
    </row>
    <row r="872" ht="15.75" customHeight="1" s="360">
      <c r="A872" s="77" t="n"/>
      <c r="B872" s="77" t="n"/>
      <c r="C872" s="77" t="n"/>
      <c r="D872" s="77" t="n"/>
      <c r="E872" s="77" t="n"/>
    </row>
    <row r="873" ht="15.75" customHeight="1" s="360">
      <c r="A873" s="77" t="n"/>
      <c r="B873" s="77" t="n"/>
      <c r="C873" s="77" t="n"/>
      <c r="D873" s="77" t="n"/>
      <c r="E873" s="77" t="n"/>
    </row>
    <row r="874" ht="15.75" customHeight="1" s="360">
      <c r="A874" s="77" t="n"/>
      <c r="B874" s="77" t="n"/>
      <c r="C874" s="77" t="n"/>
      <c r="D874" s="77" t="n"/>
      <c r="E874" s="77" t="n"/>
    </row>
    <row r="875" ht="15.75" customHeight="1" s="360">
      <c r="A875" s="77" t="n"/>
      <c r="B875" s="77" t="n"/>
      <c r="C875" s="77" t="n"/>
      <c r="D875" s="77" t="n"/>
      <c r="E875" s="77" t="n"/>
    </row>
    <row r="876" ht="15.75" customHeight="1" s="360">
      <c r="A876" s="77" t="n"/>
      <c r="B876" s="77" t="n"/>
      <c r="C876" s="77" t="n"/>
      <c r="D876" s="77" t="n"/>
      <c r="E876" s="77" t="n"/>
    </row>
    <row r="877" ht="15.75" customHeight="1" s="360">
      <c r="A877" s="77" t="n"/>
      <c r="B877" s="77" t="n"/>
      <c r="C877" s="77" t="n"/>
      <c r="D877" s="77" t="n"/>
      <c r="E877" s="77" t="n"/>
    </row>
    <row r="878" ht="15.75" customHeight="1" s="360">
      <c r="A878" s="77" t="n"/>
      <c r="B878" s="77" t="n"/>
      <c r="C878" s="77" t="n"/>
      <c r="D878" s="77" t="n"/>
      <c r="E878" s="77" t="n"/>
    </row>
    <row r="879" ht="15.75" customHeight="1" s="360">
      <c r="A879" s="77" t="n"/>
      <c r="B879" s="77" t="n"/>
      <c r="C879" s="77" t="n"/>
      <c r="D879" s="77" t="n"/>
      <c r="E879" s="77" t="n"/>
    </row>
    <row r="880" ht="15.75" customHeight="1" s="360">
      <c r="A880" s="77" t="n"/>
      <c r="B880" s="77" t="n"/>
      <c r="C880" s="77" t="n"/>
      <c r="D880" s="77" t="n"/>
      <c r="E880" s="77" t="n"/>
    </row>
    <row r="881" ht="15.75" customHeight="1" s="360">
      <c r="A881" s="77" t="n"/>
      <c r="B881" s="77" t="n"/>
      <c r="C881" s="77" t="n"/>
      <c r="D881" s="77" t="n"/>
      <c r="E881" s="77" t="n"/>
    </row>
    <row r="882" ht="15.75" customHeight="1" s="360">
      <c r="A882" s="77" t="n"/>
      <c r="B882" s="77" t="n"/>
      <c r="C882" s="77" t="n"/>
      <c r="D882" s="77" t="n"/>
      <c r="E882" s="77" t="n"/>
    </row>
    <row r="883" ht="15.75" customHeight="1" s="360">
      <c r="A883" s="77" t="n"/>
      <c r="B883" s="77" t="n"/>
      <c r="C883" s="77" t="n"/>
      <c r="D883" s="77" t="n"/>
      <c r="E883" s="77" t="n"/>
    </row>
    <row r="884" ht="15.75" customHeight="1" s="360">
      <c r="A884" s="77" t="n"/>
      <c r="B884" s="77" t="n"/>
      <c r="C884" s="77" t="n"/>
      <c r="D884" s="77" t="n"/>
      <c r="E884" s="77" t="n"/>
    </row>
    <row r="885" ht="15.75" customHeight="1" s="360">
      <c r="A885" s="77" t="n"/>
      <c r="B885" s="77" t="n"/>
      <c r="C885" s="77" t="n"/>
      <c r="D885" s="77" t="n"/>
      <c r="E885" s="77" t="n"/>
    </row>
    <row r="886" ht="15.75" customHeight="1" s="360">
      <c r="A886" s="77" t="n"/>
      <c r="B886" s="77" t="n"/>
      <c r="C886" s="77" t="n"/>
      <c r="D886" s="77" t="n"/>
      <c r="E886" s="77" t="n"/>
    </row>
    <row r="887" ht="15.75" customHeight="1" s="360">
      <c r="A887" s="77" t="n"/>
      <c r="B887" s="77" t="n"/>
      <c r="C887" s="77" t="n"/>
      <c r="D887" s="77" t="n"/>
      <c r="E887" s="77" t="n"/>
    </row>
    <row r="888" ht="15.75" customHeight="1" s="360">
      <c r="A888" s="77" t="n"/>
      <c r="B888" s="77" t="n"/>
      <c r="C888" s="77" t="n"/>
      <c r="D888" s="77" t="n"/>
      <c r="E888" s="77" t="n"/>
    </row>
    <row r="889" ht="15.75" customHeight="1" s="360">
      <c r="A889" s="77" t="n"/>
      <c r="B889" s="77" t="n"/>
      <c r="C889" s="77" t="n"/>
      <c r="D889" s="77" t="n"/>
      <c r="E889" s="77" t="n"/>
    </row>
    <row r="890" ht="15.75" customHeight="1" s="360">
      <c r="A890" s="77" t="n"/>
      <c r="B890" s="77" t="n"/>
      <c r="C890" s="77" t="n"/>
      <c r="D890" s="77" t="n"/>
      <c r="E890" s="77" t="n"/>
    </row>
    <row r="891" ht="15.75" customHeight="1" s="360">
      <c r="A891" s="77" t="n"/>
      <c r="B891" s="77" t="n"/>
      <c r="C891" s="77" t="n"/>
      <c r="D891" s="77" t="n"/>
      <c r="E891" s="77" t="n"/>
    </row>
    <row r="892" ht="15.75" customHeight="1" s="360">
      <c r="A892" s="77" t="n"/>
      <c r="B892" s="77" t="n"/>
      <c r="C892" s="77" t="n"/>
      <c r="D892" s="77" t="n"/>
      <c r="E892" s="77" t="n"/>
    </row>
    <row r="893" ht="15.75" customHeight="1" s="360">
      <c r="A893" s="77" t="n"/>
      <c r="B893" s="77" t="n"/>
      <c r="C893" s="77" t="n"/>
      <c r="D893" s="77" t="n"/>
      <c r="E893" s="77" t="n"/>
    </row>
    <row r="894" ht="15.75" customHeight="1" s="360">
      <c r="A894" s="77" t="n"/>
      <c r="B894" s="77" t="n"/>
      <c r="C894" s="77" t="n"/>
      <c r="D894" s="77" t="n"/>
      <c r="E894" s="77" t="n"/>
    </row>
    <row r="895" ht="15.75" customHeight="1" s="360">
      <c r="A895" s="77" t="n"/>
      <c r="B895" s="77" t="n"/>
      <c r="C895" s="77" t="n"/>
      <c r="D895" s="77" t="n"/>
      <c r="E895" s="77" t="n"/>
    </row>
    <row r="896" ht="15.75" customHeight="1" s="360">
      <c r="A896" s="77" t="n"/>
      <c r="B896" s="77" t="n"/>
      <c r="C896" s="77" t="n"/>
      <c r="D896" s="77" t="n"/>
      <c r="E896" s="77" t="n"/>
    </row>
    <row r="897" ht="15.75" customHeight="1" s="360">
      <c r="A897" s="77" t="n"/>
      <c r="B897" s="77" t="n"/>
      <c r="C897" s="77" t="n"/>
      <c r="D897" s="77" t="n"/>
      <c r="E897" s="77" t="n"/>
    </row>
    <row r="898" ht="15.75" customHeight="1" s="360">
      <c r="A898" s="77" t="n"/>
      <c r="B898" s="77" t="n"/>
      <c r="C898" s="77" t="n"/>
      <c r="D898" s="77" t="n"/>
      <c r="E898" s="77" t="n"/>
    </row>
    <row r="899" ht="15.75" customHeight="1" s="360">
      <c r="A899" s="77" t="n"/>
      <c r="B899" s="77" t="n"/>
      <c r="C899" s="77" t="n"/>
      <c r="D899" s="77" t="n"/>
      <c r="E899" s="77" t="n"/>
    </row>
    <row r="900" ht="15.75" customHeight="1" s="360">
      <c r="A900" s="77" t="n"/>
      <c r="B900" s="77" t="n"/>
      <c r="C900" s="77" t="n"/>
      <c r="D900" s="77" t="n"/>
      <c r="E900" s="77" t="n"/>
    </row>
    <row r="901" ht="15.75" customHeight="1" s="360">
      <c r="A901" s="77" t="n"/>
      <c r="B901" s="77" t="n"/>
      <c r="C901" s="77" t="n"/>
      <c r="D901" s="77" t="n"/>
      <c r="E901" s="77" t="n"/>
    </row>
    <row r="902" ht="15.75" customHeight="1" s="360">
      <c r="A902" s="77" t="n"/>
      <c r="B902" s="77" t="n"/>
      <c r="C902" s="77" t="n"/>
      <c r="D902" s="77" t="n"/>
      <c r="E902" s="77" t="n"/>
    </row>
    <row r="903" ht="15.75" customHeight="1" s="360">
      <c r="A903" s="77" t="n"/>
      <c r="B903" s="77" t="n"/>
      <c r="C903" s="77" t="n"/>
      <c r="D903" s="77" t="n"/>
      <c r="E903" s="77" t="n"/>
    </row>
    <row r="904" ht="15.75" customHeight="1" s="360">
      <c r="A904" s="77" t="n"/>
      <c r="B904" s="77" t="n"/>
      <c r="C904" s="77" t="n"/>
      <c r="D904" s="77" t="n"/>
      <c r="E904" s="77" t="n"/>
    </row>
    <row r="905" ht="15.75" customHeight="1" s="360">
      <c r="A905" s="77" t="n"/>
      <c r="B905" s="77" t="n"/>
      <c r="C905" s="77" t="n"/>
      <c r="D905" s="77" t="n"/>
      <c r="E905" s="77" t="n"/>
    </row>
    <row r="906" ht="15.75" customHeight="1" s="360">
      <c r="A906" s="77" t="n"/>
      <c r="B906" s="77" t="n"/>
      <c r="C906" s="77" t="n"/>
      <c r="D906" s="77" t="n"/>
      <c r="E906" s="77" t="n"/>
    </row>
    <row r="907" ht="15.75" customHeight="1" s="360">
      <c r="A907" s="77" t="n"/>
      <c r="B907" s="77" t="n"/>
      <c r="C907" s="77" t="n"/>
      <c r="D907" s="77" t="n"/>
      <c r="E907" s="77" t="n"/>
    </row>
    <row r="908" ht="15.75" customHeight="1" s="360">
      <c r="A908" s="77" t="n"/>
      <c r="B908" s="77" t="n"/>
      <c r="C908" s="77" t="n"/>
      <c r="D908" s="77" t="n"/>
      <c r="E908" s="77" t="n"/>
    </row>
    <row r="909" ht="15.75" customHeight="1" s="360">
      <c r="A909" s="77" t="n"/>
      <c r="B909" s="77" t="n"/>
      <c r="C909" s="77" t="n"/>
      <c r="D909" s="77" t="n"/>
      <c r="E909" s="77" t="n"/>
    </row>
    <row r="910" ht="15.75" customHeight="1" s="360">
      <c r="A910" s="77" t="n"/>
      <c r="B910" s="77" t="n"/>
      <c r="C910" s="77" t="n"/>
      <c r="D910" s="77" t="n"/>
      <c r="E910" s="77" t="n"/>
    </row>
    <row r="911" ht="15.75" customHeight="1" s="360">
      <c r="A911" s="77" t="n"/>
      <c r="B911" s="77" t="n"/>
      <c r="C911" s="77" t="n"/>
      <c r="D911" s="77" t="n"/>
      <c r="E911" s="77" t="n"/>
    </row>
    <row r="912" ht="15.75" customHeight="1" s="360">
      <c r="A912" s="77" t="n"/>
      <c r="B912" s="77" t="n"/>
      <c r="C912" s="77" t="n"/>
      <c r="D912" s="77" t="n"/>
      <c r="E912" s="77" t="n"/>
    </row>
    <row r="913" ht="15.75" customHeight="1" s="360">
      <c r="A913" s="77" t="n"/>
      <c r="B913" s="77" t="n"/>
      <c r="C913" s="77" t="n"/>
      <c r="D913" s="77" t="n"/>
      <c r="E913" s="77" t="n"/>
    </row>
    <row r="914" ht="15.75" customHeight="1" s="360">
      <c r="A914" s="77" t="n"/>
      <c r="B914" s="77" t="n"/>
      <c r="C914" s="77" t="n"/>
      <c r="D914" s="77" t="n"/>
      <c r="E914" s="77" t="n"/>
    </row>
    <row r="915" ht="15.75" customHeight="1" s="360">
      <c r="A915" s="77" t="n"/>
      <c r="B915" s="77" t="n"/>
      <c r="C915" s="77" t="n"/>
      <c r="D915" s="77" t="n"/>
      <c r="E915" s="77" t="n"/>
    </row>
    <row r="916" ht="15.75" customHeight="1" s="360">
      <c r="A916" s="77" t="n"/>
      <c r="B916" s="77" t="n"/>
      <c r="C916" s="77" t="n"/>
      <c r="D916" s="77" t="n"/>
      <c r="E916" s="77" t="n"/>
    </row>
    <row r="917" ht="15.75" customHeight="1" s="360">
      <c r="A917" s="77" t="n"/>
      <c r="B917" s="77" t="n"/>
      <c r="C917" s="77" t="n"/>
      <c r="D917" s="77" t="n"/>
      <c r="E917" s="77" t="n"/>
    </row>
    <row r="918" ht="15.75" customHeight="1" s="360">
      <c r="A918" s="77" t="n"/>
      <c r="B918" s="77" t="n"/>
      <c r="C918" s="77" t="n"/>
      <c r="D918" s="77" t="n"/>
      <c r="E918" s="77" t="n"/>
    </row>
    <row r="919" ht="15.75" customHeight="1" s="360">
      <c r="A919" s="77" t="n"/>
      <c r="B919" s="77" t="n"/>
      <c r="C919" s="77" t="n"/>
      <c r="D919" s="77" t="n"/>
      <c r="E919" s="77" t="n"/>
    </row>
    <row r="920" ht="15.75" customHeight="1" s="360">
      <c r="A920" s="77" t="n"/>
      <c r="B920" s="77" t="n"/>
      <c r="C920" s="77" t="n"/>
      <c r="D920" s="77" t="n"/>
      <c r="E920" s="77" t="n"/>
    </row>
    <row r="921" ht="15.75" customHeight="1" s="360">
      <c r="A921" s="77" t="n"/>
      <c r="B921" s="77" t="n"/>
      <c r="C921" s="77" t="n"/>
      <c r="D921" s="77" t="n"/>
      <c r="E921" s="77" t="n"/>
    </row>
    <row r="922" ht="15.75" customHeight="1" s="360">
      <c r="A922" s="77" t="n"/>
      <c r="B922" s="77" t="n"/>
      <c r="C922" s="77" t="n"/>
      <c r="D922" s="77" t="n"/>
      <c r="E922" s="77" t="n"/>
    </row>
    <row r="923" ht="15.75" customHeight="1" s="360">
      <c r="A923" s="77" t="n"/>
      <c r="B923" s="77" t="n"/>
      <c r="C923" s="77" t="n"/>
      <c r="D923" s="77" t="n"/>
      <c r="E923" s="77" t="n"/>
    </row>
    <row r="924" ht="15.75" customHeight="1" s="360">
      <c r="A924" s="77" t="n"/>
      <c r="B924" s="77" t="n"/>
      <c r="C924" s="77" t="n"/>
      <c r="D924" s="77" t="n"/>
      <c r="E924" s="77" t="n"/>
    </row>
    <row r="925" ht="15.75" customHeight="1" s="360">
      <c r="A925" s="77" t="n"/>
      <c r="B925" s="77" t="n"/>
      <c r="C925" s="77" t="n"/>
      <c r="D925" s="77" t="n"/>
      <c r="E925" s="77" t="n"/>
    </row>
    <row r="926" ht="15.75" customHeight="1" s="360">
      <c r="A926" s="77" t="n"/>
      <c r="B926" s="77" t="n"/>
      <c r="C926" s="77" t="n"/>
      <c r="D926" s="77" t="n"/>
      <c r="E926" s="77" t="n"/>
    </row>
    <row r="927" ht="15.75" customHeight="1" s="360">
      <c r="A927" s="77" t="n"/>
      <c r="B927" s="77" t="n"/>
      <c r="C927" s="77" t="n"/>
      <c r="D927" s="77" t="n"/>
      <c r="E927" s="77" t="n"/>
    </row>
    <row r="928" ht="15.75" customHeight="1" s="360">
      <c r="A928" s="77" t="n"/>
      <c r="B928" s="77" t="n"/>
      <c r="C928" s="77" t="n"/>
      <c r="D928" s="77" t="n"/>
      <c r="E928" s="77" t="n"/>
    </row>
    <row r="929" ht="15.75" customHeight="1" s="360">
      <c r="A929" s="77" t="n"/>
      <c r="B929" s="77" t="n"/>
      <c r="C929" s="77" t="n"/>
      <c r="D929" s="77" t="n"/>
      <c r="E929" s="77" t="n"/>
    </row>
    <row r="930" ht="15.75" customHeight="1" s="360">
      <c r="A930" s="77" t="n"/>
      <c r="B930" s="77" t="n"/>
      <c r="C930" s="77" t="n"/>
      <c r="D930" s="77" t="n"/>
      <c r="E930" s="77" t="n"/>
    </row>
    <row r="931" ht="15.75" customHeight="1" s="360">
      <c r="A931" s="77" t="n"/>
      <c r="B931" s="77" t="n"/>
      <c r="C931" s="77" t="n"/>
      <c r="D931" s="77" t="n"/>
      <c r="E931" s="77" t="n"/>
    </row>
    <row r="932" ht="15.75" customHeight="1" s="360">
      <c r="A932" s="77" t="n"/>
      <c r="B932" s="77" t="n"/>
      <c r="C932" s="77" t="n"/>
      <c r="D932" s="77" t="n"/>
      <c r="E932" s="77" t="n"/>
    </row>
    <row r="933" ht="15.75" customHeight="1" s="360">
      <c r="A933" s="77" t="n"/>
      <c r="B933" s="77" t="n"/>
      <c r="C933" s="77" t="n"/>
      <c r="D933" s="77" t="n"/>
      <c r="E933" s="77" t="n"/>
    </row>
    <row r="934" ht="15.75" customHeight="1" s="360">
      <c r="A934" s="77" t="n"/>
      <c r="B934" s="77" t="n"/>
      <c r="C934" s="77" t="n"/>
      <c r="D934" s="77" t="n"/>
      <c r="E934" s="77" t="n"/>
    </row>
    <row r="935" ht="15.75" customHeight="1" s="360">
      <c r="A935" s="77" t="n"/>
      <c r="B935" s="77" t="n"/>
      <c r="C935" s="77" t="n"/>
      <c r="D935" s="77" t="n"/>
      <c r="E935" s="77" t="n"/>
    </row>
    <row r="936" ht="15.75" customHeight="1" s="360">
      <c r="A936" s="77" t="n"/>
      <c r="B936" s="77" t="n"/>
      <c r="C936" s="77" t="n"/>
      <c r="D936" s="77" t="n"/>
      <c r="E936" s="77" t="n"/>
    </row>
    <row r="937" ht="15.75" customHeight="1" s="360">
      <c r="A937" s="77" t="n"/>
      <c r="B937" s="77" t="n"/>
      <c r="C937" s="77" t="n"/>
      <c r="D937" s="77" t="n"/>
      <c r="E937" s="77" t="n"/>
    </row>
    <row r="938" ht="15.75" customHeight="1" s="360">
      <c r="A938" s="77" t="n"/>
      <c r="B938" s="77" t="n"/>
      <c r="C938" s="77" t="n"/>
      <c r="D938" s="77" t="n"/>
      <c r="E938" s="77" t="n"/>
    </row>
    <row r="939" ht="15.75" customHeight="1" s="360">
      <c r="A939" s="77" t="n"/>
      <c r="B939" s="77" t="n"/>
      <c r="C939" s="77" t="n"/>
      <c r="D939" s="77" t="n"/>
      <c r="E939" s="77" t="n"/>
    </row>
    <row r="940" ht="15.75" customHeight="1" s="360">
      <c r="A940" s="77" t="n"/>
      <c r="B940" s="77" t="n"/>
      <c r="C940" s="77" t="n"/>
      <c r="D940" s="77" t="n"/>
      <c r="E940" s="77" t="n"/>
    </row>
    <row r="941" ht="15.75" customHeight="1" s="360">
      <c r="A941" s="77" t="n"/>
      <c r="B941" s="77" t="n"/>
      <c r="C941" s="77" t="n"/>
      <c r="D941" s="77" t="n"/>
      <c r="E941" s="77" t="n"/>
    </row>
    <row r="942" ht="15.75" customHeight="1" s="360">
      <c r="A942" s="77" t="n"/>
      <c r="B942" s="77" t="n"/>
      <c r="C942" s="77" t="n"/>
      <c r="D942" s="77" t="n"/>
      <c r="E942" s="77" t="n"/>
    </row>
    <row r="943" ht="15.75" customHeight="1" s="360">
      <c r="A943" s="77" t="n"/>
      <c r="B943" s="77" t="n"/>
      <c r="C943" s="77" t="n"/>
      <c r="D943" s="77" t="n"/>
      <c r="E943" s="77" t="n"/>
    </row>
    <row r="944" ht="15.75" customHeight="1" s="360">
      <c r="A944" s="77" t="n"/>
      <c r="B944" s="77" t="n"/>
      <c r="C944" s="77" t="n"/>
      <c r="D944" s="77" t="n"/>
      <c r="E944" s="77" t="n"/>
    </row>
    <row r="945" ht="15.75" customHeight="1" s="360">
      <c r="A945" s="77" t="n"/>
      <c r="B945" s="77" t="n"/>
      <c r="C945" s="77" t="n"/>
      <c r="D945" s="77" t="n"/>
      <c r="E945" s="77" t="n"/>
    </row>
    <row r="946" ht="15.75" customHeight="1" s="360">
      <c r="A946" s="77" t="n"/>
      <c r="B946" s="77" t="n"/>
      <c r="C946" s="77" t="n"/>
      <c r="D946" s="77" t="n"/>
      <c r="E946" s="77" t="n"/>
    </row>
    <row r="947" ht="15.75" customHeight="1" s="360">
      <c r="A947" s="77" t="n"/>
      <c r="B947" s="77" t="n"/>
      <c r="C947" s="77" t="n"/>
      <c r="D947" s="77" t="n"/>
      <c r="E947" s="77" t="n"/>
    </row>
    <row r="948" ht="15.75" customHeight="1" s="360">
      <c r="A948" s="77" t="n"/>
      <c r="B948" s="77" t="n"/>
      <c r="C948" s="77" t="n"/>
      <c r="D948" s="77" t="n"/>
      <c r="E948" s="77" t="n"/>
    </row>
    <row r="949" ht="15.75" customHeight="1" s="360">
      <c r="A949" s="77" t="n"/>
      <c r="B949" s="77" t="n"/>
      <c r="C949" s="77" t="n"/>
      <c r="D949" s="77" t="n"/>
      <c r="E949" s="77" t="n"/>
    </row>
    <row r="950" ht="15.75" customHeight="1" s="360">
      <c r="A950" s="77" t="n"/>
      <c r="B950" s="77" t="n"/>
      <c r="C950" s="77" t="n"/>
      <c r="D950" s="77" t="n"/>
      <c r="E950" s="77" t="n"/>
    </row>
    <row r="951" ht="15.75" customHeight="1" s="360">
      <c r="A951" s="77" t="n"/>
      <c r="B951" s="77" t="n"/>
      <c r="C951" s="77" t="n"/>
      <c r="D951" s="77" t="n"/>
      <c r="E951" s="77" t="n"/>
    </row>
    <row r="952" ht="15.75" customHeight="1" s="360">
      <c r="A952" s="77" t="n"/>
      <c r="B952" s="77" t="n"/>
      <c r="C952" s="77" t="n"/>
      <c r="D952" s="77" t="n"/>
      <c r="E952" s="77" t="n"/>
    </row>
    <row r="953" ht="15.75" customHeight="1" s="360">
      <c r="A953" s="77" t="n"/>
      <c r="B953" s="77" t="n"/>
      <c r="C953" s="77" t="n"/>
      <c r="D953" s="77" t="n"/>
      <c r="E953" s="77" t="n"/>
    </row>
    <row r="954" ht="15.75" customHeight="1" s="360">
      <c r="A954" s="77" t="n"/>
      <c r="B954" s="77" t="n"/>
      <c r="C954" s="77" t="n"/>
      <c r="D954" s="77" t="n"/>
      <c r="E954" s="77" t="n"/>
    </row>
    <row r="955" ht="15.75" customHeight="1" s="360">
      <c r="A955" s="77" t="n"/>
      <c r="B955" s="77" t="n"/>
      <c r="C955" s="77" t="n"/>
      <c r="D955" s="77" t="n"/>
      <c r="E955" s="77" t="n"/>
    </row>
    <row r="956" ht="15.75" customHeight="1" s="360">
      <c r="A956" s="77" t="n"/>
      <c r="B956" s="77" t="n"/>
      <c r="C956" s="77" t="n"/>
      <c r="D956" s="77" t="n"/>
      <c r="E956" s="77" t="n"/>
    </row>
    <row r="957" ht="15.75" customHeight="1" s="360">
      <c r="A957" s="77" t="n"/>
      <c r="B957" s="77" t="n"/>
      <c r="C957" s="77" t="n"/>
      <c r="D957" s="77" t="n"/>
      <c r="E957" s="77" t="n"/>
    </row>
    <row r="958" ht="15.75" customHeight="1" s="360">
      <c r="A958" s="77" t="n"/>
      <c r="B958" s="77" t="n"/>
      <c r="C958" s="77" t="n"/>
      <c r="D958" s="77" t="n"/>
      <c r="E958" s="77" t="n"/>
    </row>
    <row r="959" ht="15.75" customHeight="1" s="360">
      <c r="A959" s="77" t="n"/>
      <c r="B959" s="77" t="n"/>
      <c r="C959" s="77" t="n"/>
      <c r="D959" s="77" t="n"/>
      <c r="E959" s="77" t="n"/>
    </row>
    <row r="960" ht="15.75" customHeight="1" s="360">
      <c r="A960" s="77" t="n"/>
      <c r="B960" s="77" t="n"/>
      <c r="C960" s="77" t="n"/>
      <c r="D960" s="77" t="n"/>
      <c r="E960" s="77" t="n"/>
    </row>
    <row r="961" ht="15.75" customHeight="1" s="360">
      <c r="A961" s="77" t="n"/>
      <c r="B961" s="77" t="n"/>
      <c r="C961" s="77" t="n"/>
      <c r="D961" s="77" t="n"/>
      <c r="E961" s="77" t="n"/>
    </row>
    <row r="962" ht="15.75" customHeight="1" s="360">
      <c r="A962" s="77" t="n"/>
      <c r="B962" s="77" t="n"/>
      <c r="C962" s="77" t="n"/>
      <c r="D962" s="77" t="n"/>
      <c r="E962" s="77" t="n"/>
    </row>
    <row r="963" ht="15.75" customHeight="1" s="360">
      <c r="A963" s="77" t="n"/>
      <c r="B963" s="77" t="n"/>
      <c r="C963" s="77" t="n"/>
      <c r="D963" s="77" t="n"/>
      <c r="E963" s="77" t="n"/>
    </row>
    <row r="964" ht="15.75" customHeight="1" s="360">
      <c r="A964" s="77" t="n"/>
      <c r="B964" s="77" t="n"/>
      <c r="C964" s="77" t="n"/>
      <c r="D964" s="77" t="n"/>
      <c r="E964" s="77" t="n"/>
    </row>
    <row r="965" ht="15.75" customHeight="1" s="360">
      <c r="A965" s="77" t="n"/>
      <c r="B965" s="77" t="n"/>
      <c r="C965" s="77" t="n"/>
      <c r="D965" s="77" t="n"/>
      <c r="E965" s="77" t="n"/>
    </row>
    <row r="966" ht="15.75" customHeight="1" s="360">
      <c r="A966" s="77" t="n"/>
      <c r="B966" s="77" t="n"/>
      <c r="C966" s="77" t="n"/>
      <c r="D966" s="77" t="n"/>
      <c r="E966" s="77" t="n"/>
    </row>
    <row r="967" ht="15.75" customHeight="1" s="360">
      <c r="A967" s="77" t="n"/>
      <c r="B967" s="77" t="n"/>
      <c r="C967" s="77" t="n"/>
      <c r="D967" s="77" t="n"/>
      <c r="E967" s="77" t="n"/>
    </row>
    <row r="968" ht="15.75" customHeight="1" s="360">
      <c r="A968" s="77" t="n"/>
      <c r="B968" s="77" t="n"/>
      <c r="C968" s="77" t="n"/>
      <c r="D968" s="77" t="n"/>
      <c r="E968" s="77" t="n"/>
    </row>
    <row r="969" ht="15.75" customHeight="1" s="360">
      <c r="A969" s="77" t="n"/>
      <c r="B969" s="77" t="n"/>
      <c r="C969" s="77" t="n"/>
      <c r="D969" s="77" t="n"/>
      <c r="E969" s="77" t="n"/>
    </row>
    <row r="970" ht="15.75" customHeight="1" s="360">
      <c r="A970" s="77" t="n"/>
      <c r="B970" s="77" t="n"/>
      <c r="C970" s="77" t="n"/>
      <c r="D970" s="77" t="n"/>
      <c r="E970" s="77" t="n"/>
    </row>
    <row r="971" ht="15.75" customHeight="1" s="360">
      <c r="A971" s="77" t="n"/>
      <c r="B971" s="77" t="n"/>
      <c r="C971" s="77" t="n"/>
      <c r="D971" s="77" t="n"/>
      <c r="E971" s="77" t="n"/>
    </row>
    <row r="972" ht="15.75" customHeight="1" s="360">
      <c r="A972" s="77" t="n"/>
      <c r="B972" s="77" t="n"/>
      <c r="C972" s="77" t="n"/>
      <c r="D972" s="77" t="n"/>
      <c r="E972" s="77" t="n"/>
    </row>
    <row r="973" ht="15.75" customHeight="1" s="360">
      <c r="A973" s="77" t="n"/>
      <c r="B973" s="77" t="n"/>
      <c r="C973" s="77" t="n"/>
      <c r="D973" s="77" t="n"/>
      <c r="E973" s="77" t="n"/>
    </row>
    <row r="974" ht="15.75" customHeight="1" s="360">
      <c r="A974" s="77" t="n"/>
      <c r="B974" s="77" t="n"/>
      <c r="C974" s="77" t="n"/>
      <c r="D974" s="77" t="n"/>
      <c r="E974" s="77" t="n"/>
    </row>
    <row r="975" ht="15.75" customHeight="1" s="360">
      <c r="A975" s="77" t="n"/>
      <c r="B975" s="77" t="n"/>
      <c r="C975" s="77" t="n"/>
      <c r="D975" s="77" t="n"/>
      <c r="E975" s="77" t="n"/>
    </row>
    <row r="976" ht="15.75" customHeight="1" s="360">
      <c r="A976" s="77" t="n"/>
      <c r="B976" s="77" t="n"/>
      <c r="C976" s="77" t="n"/>
      <c r="D976" s="77" t="n"/>
      <c r="E976" s="77" t="n"/>
    </row>
    <row r="977" ht="15.75" customHeight="1" s="360">
      <c r="A977" s="77" t="n"/>
      <c r="B977" s="77" t="n"/>
      <c r="C977" s="77" t="n"/>
      <c r="D977" s="77" t="n"/>
      <c r="E977" s="77" t="n"/>
    </row>
    <row r="978" ht="15.75" customHeight="1" s="360">
      <c r="A978" s="77" t="n"/>
      <c r="B978" s="77" t="n"/>
      <c r="C978" s="77" t="n"/>
      <c r="D978" s="77" t="n"/>
      <c r="E978" s="77" t="n"/>
    </row>
    <row r="979" ht="15.75" customHeight="1" s="360">
      <c r="A979" s="77" t="n"/>
      <c r="B979" s="77" t="n"/>
      <c r="C979" s="77" t="n"/>
      <c r="D979" s="77" t="n"/>
      <c r="E979" s="77" t="n"/>
    </row>
    <row r="980" ht="15.75" customHeight="1" s="360">
      <c r="A980" s="77" t="n"/>
      <c r="B980" s="77" t="n"/>
      <c r="C980" s="77" t="n"/>
      <c r="D980" s="77" t="n"/>
      <c r="E980" s="77" t="n"/>
    </row>
    <row r="981" ht="15.75" customHeight="1" s="360">
      <c r="A981" s="77" t="n"/>
      <c r="B981" s="77" t="n"/>
      <c r="C981" s="77" t="n"/>
      <c r="D981" s="77" t="n"/>
      <c r="E981" s="77" t="n"/>
    </row>
    <row r="982" ht="15.75" customHeight="1" s="360">
      <c r="A982" s="77" t="n"/>
      <c r="B982" s="77" t="n"/>
      <c r="C982" s="77" t="n"/>
      <c r="D982" s="77" t="n"/>
      <c r="E982" s="77" t="n"/>
    </row>
    <row r="983" ht="15.75" customHeight="1" s="360">
      <c r="A983" s="77" t="n"/>
      <c r="B983" s="77" t="n"/>
      <c r="C983" s="77" t="n"/>
      <c r="D983" s="77" t="n"/>
      <c r="E983" s="77" t="n"/>
    </row>
    <row r="984" ht="15.75" customHeight="1" s="360">
      <c r="A984" s="77" t="n"/>
      <c r="B984" s="77" t="n"/>
      <c r="C984" s="77" t="n"/>
      <c r="D984" s="77" t="n"/>
      <c r="E984" s="77" t="n"/>
    </row>
    <row r="985" ht="15.75" customHeight="1" s="360">
      <c r="A985" s="77" t="n"/>
      <c r="B985" s="77" t="n"/>
      <c r="C985" s="77" t="n"/>
      <c r="D985" s="77" t="n"/>
      <c r="E985" s="77" t="n"/>
    </row>
    <row r="986" ht="15.75" customHeight="1" s="360">
      <c r="A986" s="77" t="n"/>
      <c r="B986" s="77" t="n"/>
      <c r="C986" s="77" t="n"/>
      <c r="D986" s="77" t="n"/>
      <c r="E986" s="77" t="n"/>
    </row>
    <row r="987" ht="15.75" customHeight="1" s="360">
      <c r="A987" s="77" t="n"/>
      <c r="B987" s="77" t="n"/>
      <c r="C987" s="77" t="n"/>
      <c r="D987" s="77" t="n"/>
      <c r="E987" s="77" t="n"/>
    </row>
    <row r="988" ht="15.75" customHeight="1" s="360">
      <c r="A988" s="77" t="n"/>
      <c r="B988" s="77" t="n"/>
      <c r="C988" s="77" t="n"/>
      <c r="D988" s="77" t="n"/>
      <c r="E988" s="77" t="n"/>
    </row>
    <row r="989" ht="15.75" customHeight="1" s="360">
      <c r="A989" s="77" t="n"/>
      <c r="B989" s="77" t="n"/>
      <c r="C989" s="77" t="n"/>
      <c r="D989" s="77" t="n"/>
      <c r="E989" s="77" t="n"/>
    </row>
    <row r="990" ht="15.75" customHeight="1" s="360">
      <c r="A990" s="77" t="n"/>
      <c r="B990" s="77" t="n"/>
      <c r="C990" s="77" t="n"/>
      <c r="D990" s="77" t="n"/>
      <c r="E990" s="77" t="n"/>
    </row>
    <row r="991" ht="15.75" customHeight="1" s="360">
      <c r="A991" s="77" t="n"/>
      <c r="B991" s="77" t="n"/>
      <c r="C991" s="77" t="n"/>
      <c r="D991" s="77" t="n"/>
      <c r="E991" s="77" t="n"/>
    </row>
    <row r="992" ht="15.75" customHeight="1" s="360">
      <c r="A992" s="77" t="n"/>
      <c r="B992" s="77" t="n"/>
      <c r="C992" s="77" t="n"/>
      <c r="D992" s="77" t="n"/>
      <c r="E992" s="77" t="n"/>
    </row>
    <row r="993" ht="15.75" customHeight="1" s="360">
      <c r="A993" s="77" t="n"/>
      <c r="B993" s="77" t="n"/>
      <c r="C993" s="77" t="n"/>
      <c r="D993" s="77" t="n"/>
      <c r="E993" s="77" t="n"/>
    </row>
    <row r="994" ht="15.75" customHeight="1" s="360">
      <c r="A994" s="77" t="n"/>
      <c r="B994" s="77" t="n"/>
      <c r="C994" s="77" t="n"/>
      <c r="D994" s="77" t="n"/>
      <c r="E994" s="77" t="n"/>
    </row>
    <row r="995" ht="15.75" customHeight="1" s="360">
      <c r="A995" s="77" t="n"/>
      <c r="B995" s="77" t="n"/>
      <c r="C995" s="77" t="n"/>
      <c r="D995" s="77" t="n"/>
      <c r="E995" s="77" t="n"/>
    </row>
    <row r="996" ht="15.75" customHeight="1" s="360">
      <c r="A996" s="77" t="n"/>
      <c r="B996" s="77" t="n"/>
      <c r="C996" s="77" t="n"/>
      <c r="D996" s="77" t="n"/>
      <c r="E996" s="77" t="n"/>
    </row>
    <row r="997" ht="15.75" customHeight="1" s="360">
      <c r="A997" s="77" t="n"/>
      <c r="B997" s="77" t="n"/>
      <c r="C997" s="77" t="n"/>
      <c r="D997" s="77" t="n"/>
      <c r="E997" s="77" t="n"/>
    </row>
    <row r="998" ht="15.75" customHeight="1" s="360">
      <c r="A998" s="77" t="n"/>
      <c r="B998" s="77" t="n"/>
      <c r="C998" s="77" t="n"/>
      <c r="D998" s="77" t="n"/>
      <c r="E998" s="77" t="n"/>
    </row>
    <row r="999" ht="15.75" customHeight="1" s="360">
      <c r="A999" s="77" t="n"/>
      <c r="B999" s="77" t="n"/>
      <c r="C999" s="77" t="n"/>
      <c r="D999" s="77" t="n"/>
      <c r="E999" s="77" t="n"/>
    </row>
    <row r="1000" ht="15.75" customHeight="1" s="360">
      <c r="A1000" s="77" t="n"/>
      <c r="B1000" s="77" t="n"/>
      <c r="C1000" s="77" t="n"/>
      <c r="D1000" s="77" t="n"/>
      <c r="E1000" s="77" t="n"/>
    </row>
  </sheetData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60" min="1" max="6"/>
  </cols>
  <sheetData>
    <row r="21" ht="15.75" customHeight="1" s="360"/>
    <row r="22" ht="15.75" customHeight="1" s="360"/>
    <row r="23" ht="15.75" customHeight="1" s="360"/>
    <row r="24" ht="15.75" customHeight="1" s="360"/>
    <row r="25" ht="15.75" customHeight="1" s="360"/>
    <row r="26" ht="15.75" customHeight="1" s="360"/>
    <row r="27" ht="15.75" customHeight="1" s="360"/>
    <row r="28" ht="15.75" customHeight="1" s="360"/>
    <row r="29" ht="15.75" customHeight="1" s="360"/>
    <row r="30" ht="15.75" customHeight="1" s="360"/>
    <row r="31" ht="15.75" customHeight="1" s="360"/>
    <row r="32" ht="15.75" customHeight="1" s="360"/>
    <row r="33" ht="15.75" customHeight="1" s="360"/>
    <row r="34" ht="15.75" customHeight="1" s="360"/>
    <row r="35" ht="15.75" customHeight="1" s="360"/>
    <row r="36" ht="15.75" customHeight="1" s="360"/>
    <row r="37" ht="15.75" customHeight="1" s="360"/>
    <row r="38" ht="15.75" customHeight="1" s="360"/>
    <row r="39" ht="15.75" customHeight="1" s="360"/>
    <row r="40" ht="15.75" customHeight="1" s="360"/>
    <row r="41" ht="15.75" customHeight="1" s="360"/>
    <row r="42" ht="15.75" customHeight="1" s="360"/>
    <row r="43" ht="15.75" customHeight="1" s="360"/>
    <row r="44" ht="15.75" customHeight="1" s="360"/>
    <row r="45" ht="15.75" customHeight="1" s="360"/>
    <row r="46" ht="15.75" customHeight="1" s="360"/>
    <row r="47" ht="15.75" customHeight="1" s="360"/>
    <row r="48" ht="15.75" customHeight="1" s="360"/>
    <row r="49" ht="15.75" customHeight="1" s="360"/>
    <row r="50" ht="15.75" customHeight="1" s="360"/>
    <row r="51" ht="15.75" customHeight="1" s="360"/>
    <row r="52" ht="15.75" customHeight="1" s="360"/>
    <row r="53" ht="15.75" customHeight="1" s="360"/>
    <row r="54" ht="15.75" customHeight="1" s="360"/>
    <row r="55" ht="15.75" customHeight="1" s="360"/>
    <row r="56" ht="15.75" customHeight="1" s="360"/>
    <row r="57" ht="15.75" customHeight="1" s="360"/>
    <row r="58" ht="15.75" customHeight="1" s="360"/>
    <row r="59" ht="15.75" customHeight="1" s="360"/>
    <row r="60" ht="15.75" customHeight="1" s="360"/>
    <row r="61" ht="15.75" customHeight="1" s="360"/>
    <row r="62" ht="15.75" customHeight="1" s="360"/>
    <row r="63" ht="15.75" customHeight="1" s="360"/>
    <row r="64" ht="15.75" customHeight="1" s="360"/>
    <row r="65" ht="15.75" customHeight="1" s="360"/>
    <row r="66" ht="15.75" customHeight="1" s="360"/>
    <row r="67" ht="15.75" customHeight="1" s="360"/>
    <row r="68" ht="15.75" customHeight="1" s="360"/>
    <row r="69" ht="15.75" customHeight="1" s="360"/>
    <row r="70" ht="15.75" customHeight="1" s="360"/>
    <row r="71" ht="15.75" customHeight="1" s="360"/>
    <row r="72" ht="15.75" customHeight="1" s="360"/>
    <row r="73" ht="15.75" customHeight="1" s="360"/>
    <row r="74" ht="15.75" customHeight="1" s="360"/>
    <row r="75" ht="15.75" customHeight="1" s="360"/>
    <row r="76" ht="15.75" customHeight="1" s="360"/>
    <row r="77" ht="15.75" customHeight="1" s="360"/>
    <row r="78" ht="15.75" customHeight="1" s="360"/>
    <row r="79" ht="15.75" customHeight="1" s="360"/>
    <row r="80" ht="15.75" customHeight="1" s="360"/>
    <row r="81" ht="15.75" customHeight="1" s="360"/>
    <row r="82" ht="15.75" customHeight="1" s="360"/>
    <row r="83" ht="15.75" customHeight="1" s="360"/>
    <row r="84" ht="15.75" customHeight="1" s="360"/>
    <row r="85" ht="15.75" customHeight="1" s="360"/>
    <row r="86" ht="15.75" customHeight="1" s="360"/>
    <row r="87" ht="15.75" customHeight="1" s="360"/>
    <row r="88" ht="15.75" customHeight="1" s="360"/>
    <row r="89" ht="15.75" customHeight="1" s="360"/>
    <row r="90" ht="15.75" customHeight="1" s="360"/>
    <row r="91" ht="15.75" customHeight="1" s="360"/>
    <row r="92" ht="15.75" customHeight="1" s="360"/>
    <row r="93" ht="15.75" customHeight="1" s="360"/>
    <row r="94" ht="15.75" customHeight="1" s="360"/>
    <row r="95" ht="15.75" customHeight="1" s="360"/>
    <row r="96" ht="15.75" customHeight="1" s="360"/>
    <row r="97" ht="15.75" customHeight="1" s="360"/>
    <row r="98" ht="15.75" customHeight="1" s="360"/>
    <row r="99" ht="15.75" customHeight="1" s="360"/>
    <row r="100" ht="15.75" customHeight="1" s="360"/>
    <row r="101" ht="15.75" customHeight="1" s="360"/>
    <row r="102" ht="15.75" customHeight="1" s="360"/>
    <row r="103" ht="15.75" customHeight="1" s="360"/>
    <row r="104" ht="15.75" customHeight="1" s="360"/>
    <row r="105" ht="15.75" customHeight="1" s="360"/>
    <row r="106" ht="15.75" customHeight="1" s="360"/>
    <row r="107" ht="15.75" customHeight="1" s="360"/>
    <row r="108" ht="15.75" customHeight="1" s="360"/>
    <row r="109" ht="15.75" customHeight="1" s="360"/>
    <row r="110" ht="15.75" customHeight="1" s="360"/>
    <row r="111" ht="15.75" customHeight="1" s="360"/>
    <row r="112" ht="15.75" customHeight="1" s="360"/>
    <row r="113" ht="15.75" customHeight="1" s="360"/>
    <row r="114" ht="15.75" customHeight="1" s="360"/>
    <row r="115" ht="15.75" customHeight="1" s="360"/>
    <row r="116" ht="15.75" customHeight="1" s="360"/>
    <row r="117" ht="15.75" customHeight="1" s="360"/>
    <row r="118" ht="15.75" customHeight="1" s="360"/>
    <row r="119" ht="15.75" customHeight="1" s="360"/>
    <row r="120" ht="15.75" customHeight="1" s="360"/>
    <row r="121" ht="15.75" customHeight="1" s="360"/>
    <row r="122" ht="15.75" customHeight="1" s="360"/>
    <row r="123" ht="15.75" customHeight="1" s="360"/>
    <row r="124" ht="15.75" customHeight="1" s="360"/>
    <row r="125" ht="15.75" customHeight="1" s="360"/>
    <row r="126" ht="15.75" customHeight="1" s="360"/>
    <row r="127" ht="15.75" customHeight="1" s="360"/>
    <row r="128" ht="15.75" customHeight="1" s="360"/>
    <row r="129" ht="15.75" customHeight="1" s="360"/>
    <row r="130" ht="15.75" customHeight="1" s="360"/>
    <row r="131" ht="15.75" customHeight="1" s="360"/>
    <row r="132" ht="15.75" customHeight="1" s="360"/>
    <row r="133" ht="15.75" customHeight="1" s="360"/>
    <row r="134" ht="15.75" customHeight="1" s="360"/>
    <row r="135" ht="15.75" customHeight="1" s="360"/>
    <row r="136" ht="15.75" customHeight="1" s="360"/>
    <row r="137" ht="15.75" customHeight="1" s="360"/>
    <row r="138" ht="15.75" customHeight="1" s="360"/>
    <row r="139" ht="15.75" customHeight="1" s="360"/>
    <row r="140" ht="15.75" customHeight="1" s="360"/>
    <row r="141" ht="15.75" customHeight="1" s="360"/>
    <row r="142" ht="15.75" customHeight="1" s="360"/>
    <row r="143" ht="15.75" customHeight="1" s="360"/>
    <row r="144" ht="15.75" customHeight="1" s="360"/>
    <row r="145" ht="15.75" customHeight="1" s="360"/>
    <row r="146" ht="15.75" customHeight="1" s="360"/>
    <row r="147" ht="15.75" customHeight="1" s="360"/>
    <row r="148" ht="15.75" customHeight="1" s="360"/>
    <row r="149" ht="15.75" customHeight="1" s="360"/>
    <row r="150" ht="15.75" customHeight="1" s="360"/>
    <row r="151" ht="15.75" customHeight="1" s="360"/>
    <row r="152" ht="15.75" customHeight="1" s="360"/>
    <row r="153" ht="15.75" customHeight="1" s="360"/>
    <row r="154" ht="15.75" customHeight="1" s="360"/>
    <row r="155" ht="15.75" customHeight="1" s="360"/>
    <row r="156" ht="15.75" customHeight="1" s="360"/>
    <row r="157" ht="15.75" customHeight="1" s="360"/>
    <row r="158" ht="15.75" customHeight="1" s="360"/>
    <row r="159" ht="15.75" customHeight="1" s="360"/>
    <row r="160" ht="15.75" customHeight="1" s="360"/>
    <row r="161" ht="15.75" customHeight="1" s="360"/>
    <row r="162" ht="15.75" customHeight="1" s="360"/>
    <row r="163" ht="15.75" customHeight="1" s="360"/>
    <row r="164" ht="15.75" customHeight="1" s="360"/>
    <row r="165" ht="15.75" customHeight="1" s="360"/>
    <row r="166" ht="15.75" customHeight="1" s="360"/>
    <row r="167" ht="15.75" customHeight="1" s="360"/>
    <row r="168" ht="15.75" customHeight="1" s="360"/>
    <row r="169" ht="15.75" customHeight="1" s="360"/>
    <row r="170" ht="15.75" customHeight="1" s="360"/>
    <row r="171" ht="15.75" customHeight="1" s="360"/>
    <row r="172" ht="15.75" customHeight="1" s="360"/>
    <row r="173" ht="15.75" customHeight="1" s="360"/>
    <row r="174" ht="15.75" customHeight="1" s="360"/>
    <row r="175" ht="15.75" customHeight="1" s="360"/>
    <row r="176" ht="15.75" customHeight="1" s="360"/>
    <row r="177" ht="15.75" customHeight="1" s="360"/>
    <row r="178" ht="15.75" customHeight="1" s="360"/>
    <row r="179" ht="15.75" customHeight="1" s="360"/>
    <row r="180" ht="15.75" customHeight="1" s="360"/>
    <row r="181" ht="15.75" customHeight="1" s="360"/>
    <row r="182" ht="15.75" customHeight="1" s="360"/>
    <row r="183" ht="15.75" customHeight="1" s="360"/>
    <row r="184" ht="15.75" customHeight="1" s="360"/>
    <row r="185" ht="15.75" customHeight="1" s="360"/>
    <row r="186" ht="15.75" customHeight="1" s="360"/>
    <row r="187" ht="15.75" customHeight="1" s="360"/>
    <row r="188" ht="15.75" customHeight="1" s="360"/>
    <row r="189" ht="15.75" customHeight="1" s="360"/>
    <row r="190" ht="15.75" customHeight="1" s="360"/>
    <row r="191" ht="15.75" customHeight="1" s="360"/>
    <row r="192" ht="15.75" customHeight="1" s="360"/>
    <row r="193" ht="15.75" customHeight="1" s="360"/>
    <row r="194" ht="15.75" customHeight="1" s="360"/>
    <row r="195" ht="15.75" customHeight="1" s="360"/>
    <row r="196" ht="15.75" customHeight="1" s="360"/>
    <row r="197" ht="15.75" customHeight="1" s="360"/>
    <row r="198" ht="15.75" customHeight="1" s="360"/>
    <row r="199" ht="15.75" customHeight="1" s="360"/>
    <row r="200" ht="15.75" customHeight="1" s="360"/>
    <row r="201" ht="15.75" customHeight="1" s="360"/>
    <row r="202" ht="15.75" customHeight="1" s="360"/>
    <row r="203" ht="15.75" customHeight="1" s="360"/>
    <row r="204" ht="15.75" customHeight="1" s="360"/>
    <row r="205" ht="15.75" customHeight="1" s="360"/>
    <row r="206" ht="15.75" customHeight="1" s="360"/>
    <row r="207" ht="15.75" customHeight="1" s="360"/>
    <row r="208" ht="15.75" customHeight="1" s="360"/>
    <row r="209" ht="15.75" customHeight="1" s="360"/>
    <row r="210" ht="15.75" customHeight="1" s="360"/>
    <row r="211" ht="15.75" customHeight="1" s="360"/>
    <row r="212" ht="15.75" customHeight="1" s="360"/>
    <row r="213" ht="15.75" customHeight="1" s="360"/>
    <row r="214" ht="15.75" customHeight="1" s="360"/>
    <row r="215" ht="15.75" customHeight="1" s="360"/>
    <row r="216" ht="15.75" customHeight="1" s="360"/>
    <row r="217" ht="15.75" customHeight="1" s="360"/>
    <row r="218" ht="15.75" customHeight="1" s="360"/>
    <row r="219" ht="15.75" customHeight="1" s="360"/>
    <row r="220" ht="15.75" customHeight="1" s="360"/>
    <row r="221" ht="15.75" customHeight="1" s="360"/>
    <row r="222" ht="15.75" customHeight="1" s="360"/>
    <row r="223" ht="15.75" customHeight="1" s="360"/>
    <row r="224" ht="15.75" customHeight="1" s="360"/>
    <row r="225" ht="15.75" customHeight="1" s="360"/>
    <row r="226" ht="15.75" customHeight="1" s="360"/>
    <row r="227" ht="15.75" customHeight="1" s="360"/>
    <row r="228" ht="15.75" customHeight="1" s="360"/>
    <row r="229" ht="15.75" customHeight="1" s="360"/>
    <row r="230" ht="15.75" customHeight="1" s="360"/>
    <row r="231" ht="15.75" customHeight="1" s="360"/>
    <row r="232" ht="15.75" customHeight="1" s="360"/>
    <row r="233" ht="15.75" customHeight="1" s="360"/>
    <row r="234" ht="15.75" customHeight="1" s="360"/>
    <row r="235" ht="15.75" customHeight="1" s="360"/>
    <row r="236" ht="15.75" customHeight="1" s="360"/>
    <row r="237" ht="15.75" customHeight="1" s="360"/>
    <row r="238" ht="15.75" customHeight="1" s="360"/>
    <row r="239" ht="15.75" customHeight="1" s="360"/>
    <row r="240" ht="15.75" customHeight="1" s="360"/>
    <row r="241" ht="15.75" customHeight="1" s="360"/>
    <row r="242" ht="15.75" customHeight="1" s="360"/>
    <row r="243" ht="15.75" customHeight="1" s="360"/>
    <row r="244" ht="15.75" customHeight="1" s="360"/>
    <row r="245" ht="15.75" customHeight="1" s="360"/>
    <row r="246" ht="15.75" customHeight="1" s="360"/>
    <row r="247" ht="15.75" customHeight="1" s="360"/>
    <row r="248" ht="15.75" customHeight="1" s="360"/>
    <row r="249" ht="15.75" customHeight="1" s="360"/>
    <row r="250" ht="15.75" customHeight="1" s="360"/>
    <row r="251" ht="15.75" customHeight="1" s="360"/>
    <row r="252" ht="15.75" customHeight="1" s="360"/>
    <row r="253" ht="15.75" customHeight="1" s="360"/>
    <row r="254" ht="15.75" customHeight="1" s="360"/>
    <row r="255" ht="15.75" customHeight="1" s="360"/>
    <row r="256" ht="15.75" customHeight="1" s="360"/>
    <row r="257" ht="15.75" customHeight="1" s="360"/>
    <row r="258" ht="15.75" customHeight="1" s="360"/>
    <row r="259" ht="15.75" customHeight="1" s="360"/>
    <row r="260" ht="15.75" customHeight="1" s="360"/>
    <row r="261" ht="15.75" customHeight="1" s="360"/>
    <row r="262" ht="15.75" customHeight="1" s="360"/>
    <row r="263" ht="15.75" customHeight="1" s="360"/>
    <row r="264" ht="15.75" customHeight="1" s="360"/>
    <row r="265" ht="15.75" customHeight="1" s="360"/>
    <row r="266" ht="15.75" customHeight="1" s="360"/>
    <row r="267" ht="15.75" customHeight="1" s="360"/>
    <row r="268" ht="15.75" customHeight="1" s="360"/>
    <row r="269" ht="15.75" customHeight="1" s="360"/>
    <row r="270" ht="15.75" customHeight="1" s="360"/>
    <row r="271" ht="15.75" customHeight="1" s="360"/>
    <row r="272" ht="15.75" customHeight="1" s="360"/>
    <row r="273" ht="15.75" customHeight="1" s="360"/>
    <row r="274" ht="15.75" customHeight="1" s="360"/>
    <row r="275" ht="15.75" customHeight="1" s="360"/>
    <row r="276" ht="15.75" customHeight="1" s="360"/>
    <row r="277" ht="15.75" customHeight="1" s="360"/>
    <row r="278" ht="15.75" customHeight="1" s="360"/>
    <row r="279" ht="15.75" customHeight="1" s="360"/>
    <row r="280" ht="15.75" customHeight="1" s="360"/>
    <row r="281" ht="15.75" customHeight="1" s="360"/>
    <row r="282" ht="15.75" customHeight="1" s="360"/>
    <row r="283" ht="15.75" customHeight="1" s="360"/>
    <row r="284" ht="15.75" customHeight="1" s="360"/>
    <row r="285" ht="15.75" customHeight="1" s="360"/>
    <row r="286" ht="15.75" customHeight="1" s="360"/>
    <row r="287" ht="15.75" customHeight="1" s="360"/>
    <row r="288" ht="15.75" customHeight="1" s="360"/>
    <row r="289" ht="15.75" customHeight="1" s="360"/>
    <row r="290" ht="15.75" customHeight="1" s="360"/>
    <row r="291" ht="15.75" customHeight="1" s="360"/>
    <row r="292" ht="15.75" customHeight="1" s="360"/>
    <row r="293" ht="15.75" customHeight="1" s="360"/>
    <row r="294" ht="15.75" customHeight="1" s="360"/>
    <row r="295" ht="15.75" customHeight="1" s="360"/>
    <row r="296" ht="15.75" customHeight="1" s="360"/>
    <row r="297" ht="15.75" customHeight="1" s="360"/>
    <row r="298" ht="15.75" customHeight="1" s="360"/>
    <row r="299" ht="15.75" customHeight="1" s="360"/>
    <row r="300" ht="15.75" customHeight="1" s="360"/>
    <row r="301" ht="15.75" customHeight="1" s="360"/>
    <row r="302" ht="15.75" customHeight="1" s="360"/>
    <row r="303" ht="15.75" customHeight="1" s="360"/>
    <row r="304" ht="15.75" customHeight="1" s="360"/>
    <row r="305" ht="15.75" customHeight="1" s="360"/>
    <row r="306" ht="15.75" customHeight="1" s="360"/>
    <row r="307" ht="15.75" customHeight="1" s="360"/>
    <row r="308" ht="15.75" customHeight="1" s="360"/>
    <row r="309" ht="15.75" customHeight="1" s="360"/>
    <row r="310" ht="15.75" customHeight="1" s="360"/>
    <row r="311" ht="15.75" customHeight="1" s="360"/>
    <row r="312" ht="15.75" customHeight="1" s="360"/>
    <row r="313" ht="15.75" customHeight="1" s="360"/>
    <row r="314" ht="15.75" customHeight="1" s="360"/>
    <row r="315" ht="15.75" customHeight="1" s="360"/>
    <row r="316" ht="15.75" customHeight="1" s="360"/>
    <row r="317" ht="15.75" customHeight="1" s="360"/>
    <row r="318" ht="15.75" customHeight="1" s="360"/>
    <row r="319" ht="15.75" customHeight="1" s="360"/>
    <row r="320" ht="15.75" customHeight="1" s="360"/>
    <row r="321" ht="15.75" customHeight="1" s="360"/>
    <row r="322" ht="15.75" customHeight="1" s="360"/>
    <row r="323" ht="15.75" customHeight="1" s="360"/>
    <row r="324" ht="15.75" customHeight="1" s="360"/>
    <row r="325" ht="15.75" customHeight="1" s="360"/>
    <row r="326" ht="15.75" customHeight="1" s="360"/>
    <row r="327" ht="15.75" customHeight="1" s="360"/>
    <row r="328" ht="15.75" customHeight="1" s="360"/>
    <row r="329" ht="15.75" customHeight="1" s="360"/>
    <row r="330" ht="15.75" customHeight="1" s="360"/>
    <row r="331" ht="15.75" customHeight="1" s="360"/>
    <row r="332" ht="15.75" customHeight="1" s="360"/>
    <row r="333" ht="15.75" customHeight="1" s="360"/>
    <row r="334" ht="15.75" customHeight="1" s="360"/>
    <row r="335" ht="15.75" customHeight="1" s="360"/>
    <row r="336" ht="15.75" customHeight="1" s="360"/>
    <row r="337" ht="15.75" customHeight="1" s="360"/>
    <row r="338" ht="15.75" customHeight="1" s="360"/>
    <row r="339" ht="15.75" customHeight="1" s="360"/>
    <row r="340" ht="15.75" customHeight="1" s="360"/>
    <row r="341" ht="15.75" customHeight="1" s="360"/>
    <row r="342" ht="15.75" customHeight="1" s="360"/>
    <row r="343" ht="15.75" customHeight="1" s="360"/>
    <row r="344" ht="15.75" customHeight="1" s="360"/>
    <row r="345" ht="15.75" customHeight="1" s="360"/>
    <row r="346" ht="15.75" customHeight="1" s="360"/>
    <row r="347" ht="15.75" customHeight="1" s="360"/>
    <row r="348" ht="15.75" customHeight="1" s="360"/>
    <row r="349" ht="15.75" customHeight="1" s="360"/>
    <row r="350" ht="15.75" customHeight="1" s="360"/>
    <row r="351" ht="15.75" customHeight="1" s="360"/>
    <row r="352" ht="15.75" customHeight="1" s="360"/>
    <row r="353" ht="15.75" customHeight="1" s="360"/>
    <row r="354" ht="15.75" customHeight="1" s="360"/>
    <row r="355" ht="15.75" customHeight="1" s="360"/>
    <row r="356" ht="15.75" customHeight="1" s="360"/>
    <row r="357" ht="15.75" customHeight="1" s="360"/>
    <row r="358" ht="15.75" customHeight="1" s="360"/>
    <row r="359" ht="15.75" customHeight="1" s="360"/>
    <row r="360" ht="15.75" customHeight="1" s="360"/>
    <row r="361" ht="15.75" customHeight="1" s="360"/>
    <row r="362" ht="15.75" customHeight="1" s="360"/>
    <row r="363" ht="15.75" customHeight="1" s="360"/>
    <row r="364" ht="15.75" customHeight="1" s="360"/>
    <row r="365" ht="15.75" customHeight="1" s="360"/>
    <row r="366" ht="15.75" customHeight="1" s="360"/>
    <row r="367" ht="15.75" customHeight="1" s="360"/>
    <row r="368" ht="15.75" customHeight="1" s="360"/>
    <row r="369" ht="15.75" customHeight="1" s="360"/>
    <row r="370" ht="15.75" customHeight="1" s="360"/>
    <row r="371" ht="15.75" customHeight="1" s="360"/>
    <row r="372" ht="15.75" customHeight="1" s="360"/>
    <row r="373" ht="15.75" customHeight="1" s="360"/>
    <row r="374" ht="15.75" customHeight="1" s="360"/>
    <row r="375" ht="15.75" customHeight="1" s="360"/>
    <row r="376" ht="15.75" customHeight="1" s="360"/>
    <row r="377" ht="15.75" customHeight="1" s="360"/>
    <row r="378" ht="15.75" customHeight="1" s="360"/>
    <row r="379" ht="15.75" customHeight="1" s="360"/>
    <row r="380" ht="15.75" customHeight="1" s="360"/>
    <row r="381" ht="15.75" customHeight="1" s="360"/>
    <row r="382" ht="15.75" customHeight="1" s="360"/>
    <row r="383" ht="15.75" customHeight="1" s="360"/>
    <row r="384" ht="15.75" customHeight="1" s="360"/>
    <row r="385" ht="15.75" customHeight="1" s="360"/>
    <row r="386" ht="15.75" customHeight="1" s="360"/>
    <row r="387" ht="15.75" customHeight="1" s="360"/>
    <row r="388" ht="15.75" customHeight="1" s="360"/>
    <row r="389" ht="15.75" customHeight="1" s="360"/>
    <row r="390" ht="15.75" customHeight="1" s="360"/>
    <row r="391" ht="15.75" customHeight="1" s="360"/>
    <row r="392" ht="15.75" customHeight="1" s="360"/>
    <row r="393" ht="15.75" customHeight="1" s="360"/>
    <row r="394" ht="15.75" customHeight="1" s="360"/>
    <row r="395" ht="15.75" customHeight="1" s="360"/>
    <row r="396" ht="15.75" customHeight="1" s="360"/>
    <row r="397" ht="15.75" customHeight="1" s="360"/>
    <row r="398" ht="15.75" customHeight="1" s="360"/>
    <row r="399" ht="15.75" customHeight="1" s="360"/>
    <row r="400" ht="15.75" customHeight="1" s="360"/>
    <row r="401" ht="15.75" customHeight="1" s="360"/>
    <row r="402" ht="15.75" customHeight="1" s="360"/>
    <row r="403" ht="15.75" customHeight="1" s="360"/>
    <row r="404" ht="15.75" customHeight="1" s="360"/>
    <row r="405" ht="15.75" customHeight="1" s="360"/>
    <row r="406" ht="15.75" customHeight="1" s="360"/>
    <row r="407" ht="15.75" customHeight="1" s="360"/>
    <row r="408" ht="15.75" customHeight="1" s="360"/>
    <row r="409" ht="15.75" customHeight="1" s="360"/>
    <row r="410" ht="15.75" customHeight="1" s="360"/>
    <row r="411" ht="15.75" customHeight="1" s="360"/>
    <row r="412" ht="15.75" customHeight="1" s="360"/>
    <row r="413" ht="15.75" customHeight="1" s="360"/>
    <row r="414" ht="15.75" customHeight="1" s="360"/>
    <row r="415" ht="15.75" customHeight="1" s="360"/>
    <row r="416" ht="15.75" customHeight="1" s="360"/>
    <row r="417" ht="15.75" customHeight="1" s="360"/>
    <row r="418" ht="15.75" customHeight="1" s="360"/>
    <row r="419" ht="15.75" customHeight="1" s="360"/>
    <row r="420" ht="15.75" customHeight="1" s="360"/>
    <row r="421" ht="15.75" customHeight="1" s="360"/>
    <row r="422" ht="15.75" customHeight="1" s="360"/>
    <row r="423" ht="15.75" customHeight="1" s="360"/>
    <row r="424" ht="15.75" customHeight="1" s="360"/>
    <row r="425" ht="15.75" customHeight="1" s="360"/>
    <row r="426" ht="15.75" customHeight="1" s="360"/>
    <row r="427" ht="15.75" customHeight="1" s="360"/>
    <row r="428" ht="15.75" customHeight="1" s="360"/>
    <row r="429" ht="15.75" customHeight="1" s="360"/>
    <row r="430" ht="15.75" customHeight="1" s="360"/>
    <row r="431" ht="15.75" customHeight="1" s="360"/>
    <row r="432" ht="15.75" customHeight="1" s="360"/>
    <row r="433" ht="15.75" customHeight="1" s="360"/>
    <row r="434" ht="15.75" customHeight="1" s="360"/>
    <row r="435" ht="15.75" customHeight="1" s="360"/>
    <row r="436" ht="15.75" customHeight="1" s="360"/>
    <row r="437" ht="15.75" customHeight="1" s="360"/>
    <row r="438" ht="15.75" customHeight="1" s="360"/>
    <row r="439" ht="15.75" customHeight="1" s="360"/>
    <row r="440" ht="15.75" customHeight="1" s="360"/>
    <row r="441" ht="15.75" customHeight="1" s="360"/>
    <row r="442" ht="15.75" customHeight="1" s="360"/>
    <row r="443" ht="15.75" customHeight="1" s="360"/>
    <row r="444" ht="15.75" customHeight="1" s="360"/>
    <row r="445" ht="15.75" customHeight="1" s="360"/>
    <row r="446" ht="15.75" customHeight="1" s="360"/>
    <row r="447" ht="15.75" customHeight="1" s="360"/>
    <row r="448" ht="15.75" customHeight="1" s="360"/>
    <row r="449" ht="15.75" customHeight="1" s="360"/>
    <row r="450" ht="15.75" customHeight="1" s="360"/>
    <row r="451" ht="15.75" customHeight="1" s="360"/>
    <row r="452" ht="15.75" customHeight="1" s="360"/>
    <row r="453" ht="15.75" customHeight="1" s="360"/>
    <row r="454" ht="15.75" customHeight="1" s="360"/>
    <row r="455" ht="15.75" customHeight="1" s="360"/>
    <row r="456" ht="15.75" customHeight="1" s="360"/>
    <row r="457" ht="15.75" customHeight="1" s="360"/>
    <row r="458" ht="15.75" customHeight="1" s="360"/>
    <row r="459" ht="15.75" customHeight="1" s="360"/>
    <row r="460" ht="15.75" customHeight="1" s="360"/>
    <row r="461" ht="15.75" customHeight="1" s="360"/>
    <row r="462" ht="15.75" customHeight="1" s="360"/>
    <row r="463" ht="15.75" customHeight="1" s="360"/>
    <row r="464" ht="15.75" customHeight="1" s="360"/>
    <row r="465" ht="15.75" customHeight="1" s="360"/>
    <row r="466" ht="15.75" customHeight="1" s="360"/>
    <row r="467" ht="15.75" customHeight="1" s="360"/>
    <row r="468" ht="15.75" customHeight="1" s="360"/>
    <row r="469" ht="15.75" customHeight="1" s="360"/>
    <row r="470" ht="15.75" customHeight="1" s="360"/>
    <row r="471" ht="15.75" customHeight="1" s="360"/>
    <row r="472" ht="15.75" customHeight="1" s="360"/>
    <row r="473" ht="15.75" customHeight="1" s="360"/>
    <row r="474" ht="15.75" customHeight="1" s="360"/>
    <row r="475" ht="15.75" customHeight="1" s="360"/>
    <row r="476" ht="15.75" customHeight="1" s="360"/>
    <row r="477" ht="15.75" customHeight="1" s="360"/>
    <row r="478" ht="15.75" customHeight="1" s="360"/>
    <row r="479" ht="15.75" customHeight="1" s="360"/>
    <row r="480" ht="15.75" customHeight="1" s="360"/>
    <row r="481" ht="15.75" customHeight="1" s="360"/>
    <row r="482" ht="15.75" customHeight="1" s="360"/>
    <row r="483" ht="15.75" customHeight="1" s="360"/>
    <row r="484" ht="15.75" customHeight="1" s="360"/>
    <row r="485" ht="15.75" customHeight="1" s="360"/>
    <row r="486" ht="15.75" customHeight="1" s="360"/>
    <row r="487" ht="15.75" customHeight="1" s="360"/>
    <row r="488" ht="15.75" customHeight="1" s="360"/>
    <row r="489" ht="15.75" customHeight="1" s="360"/>
    <row r="490" ht="15.75" customHeight="1" s="360"/>
    <row r="491" ht="15.75" customHeight="1" s="360"/>
    <row r="492" ht="15.75" customHeight="1" s="360"/>
    <row r="493" ht="15.75" customHeight="1" s="360"/>
    <row r="494" ht="15.75" customHeight="1" s="360"/>
    <row r="495" ht="15.75" customHeight="1" s="360"/>
    <row r="496" ht="15.75" customHeight="1" s="360"/>
    <row r="497" ht="15.75" customHeight="1" s="360"/>
    <row r="498" ht="15.75" customHeight="1" s="360"/>
    <row r="499" ht="15.75" customHeight="1" s="360"/>
    <row r="500" ht="15.75" customHeight="1" s="360"/>
    <row r="501" ht="15.75" customHeight="1" s="360"/>
    <row r="502" ht="15.75" customHeight="1" s="360"/>
    <row r="503" ht="15.75" customHeight="1" s="360"/>
    <row r="504" ht="15.75" customHeight="1" s="360"/>
    <row r="505" ht="15.75" customHeight="1" s="360"/>
    <row r="506" ht="15.75" customHeight="1" s="360"/>
    <row r="507" ht="15.75" customHeight="1" s="360"/>
    <row r="508" ht="15.75" customHeight="1" s="360"/>
    <row r="509" ht="15.75" customHeight="1" s="360"/>
    <row r="510" ht="15.75" customHeight="1" s="360"/>
    <row r="511" ht="15.75" customHeight="1" s="360"/>
    <row r="512" ht="15.75" customHeight="1" s="360"/>
    <row r="513" ht="15.75" customHeight="1" s="360"/>
    <row r="514" ht="15.75" customHeight="1" s="360"/>
    <row r="515" ht="15.75" customHeight="1" s="360"/>
    <row r="516" ht="15.75" customHeight="1" s="360"/>
    <row r="517" ht="15.75" customHeight="1" s="360"/>
    <row r="518" ht="15.75" customHeight="1" s="360"/>
    <row r="519" ht="15.75" customHeight="1" s="360"/>
    <row r="520" ht="15.75" customHeight="1" s="360"/>
    <row r="521" ht="15.75" customHeight="1" s="360"/>
    <row r="522" ht="15.75" customHeight="1" s="360"/>
    <row r="523" ht="15.75" customHeight="1" s="360"/>
    <row r="524" ht="15.75" customHeight="1" s="360"/>
    <row r="525" ht="15.75" customHeight="1" s="360"/>
    <row r="526" ht="15.75" customHeight="1" s="360"/>
    <row r="527" ht="15.75" customHeight="1" s="360"/>
    <row r="528" ht="15.75" customHeight="1" s="360"/>
    <row r="529" ht="15.75" customHeight="1" s="360"/>
    <row r="530" ht="15.75" customHeight="1" s="360"/>
    <row r="531" ht="15.75" customHeight="1" s="360"/>
    <row r="532" ht="15.75" customHeight="1" s="360"/>
    <row r="533" ht="15.75" customHeight="1" s="360"/>
    <row r="534" ht="15.75" customHeight="1" s="360"/>
    <row r="535" ht="15.75" customHeight="1" s="360"/>
    <row r="536" ht="15.75" customHeight="1" s="360"/>
    <row r="537" ht="15.75" customHeight="1" s="360"/>
    <row r="538" ht="15.75" customHeight="1" s="360"/>
    <row r="539" ht="15.75" customHeight="1" s="360"/>
    <row r="540" ht="15.75" customHeight="1" s="360"/>
    <row r="541" ht="15.75" customHeight="1" s="360"/>
    <row r="542" ht="15.75" customHeight="1" s="360"/>
    <row r="543" ht="15.75" customHeight="1" s="360"/>
    <row r="544" ht="15.75" customHeight="1" s="360"/>
    <row r="545" ht="15.75" customHeight="1" s="360"/>
    <row r="546" ht="15.75" customHeight="1" s="360"/>
    <row r="547" ht="15.75" customHeight="1" s="360"/>
    <row r="548" ht="15.75" customHeight="1" s="360"/>
    <row r="549" ht="15.75" customHeight="1" s="360"/>
    <row r="550" ht="15.75" customHeight="1" s="360"/>
    <row r="551" ht="15.75" customHeight="1" s="360"/>
    <row r="552" ht="15.75" customHeight="1" s="360"/>
    <row r="553" ht="15.75" customHeight="1" s="360"/>
    <row r="554" ht="15.75" customHeight="1" s="360"/>
    <row r="555" ht="15.75" customHeight="1" s="360"/>
    <row r="556" ht="15.75" customHeight="1" s="360"/>
    <row r="557" ht="15.75" customHeight="1" s="360"/>
    <row r="558" ht="15.75" customHeight="1" s="360"/>
    <row r="559" ht="15.75" customHeight="1" s="360"/>
    <row r="560" ht="15.75" customHeight="1" s="360"/>
    <row r="561" ht="15.75" customHeight="1" s="360"/>
    <row r="562" ht="15.75" customHeight="1" s="360"/>
    <row r="563" ht="15.75" customHeight="1" s="360"/>
    <row r="564" ht="15.75" customHeight="1" s="360"/>
    <row r="565" ht="15.75" customHeight="1" s="360"/>
    <row r="566" ht="15.75" customHeight="1" s="360"/>
    <row r="567" ht="15.75" customHeight="1" s="360"/>
    <row r="568" ht="15.75" customHeight="1" s="360"/>
    <row r="569" ht="15.75" customHeight="1" s="360"/>
    <row r="570" ht="15.75" customHeight="1" s="360"/>
    <row r="571" ht="15.75" customHeight="1" s="360"/>
    <row r="572" ht="15.75" customHeight="1" s="360"/>
    <row r="573" ht="15.75" customHeight="1" s="360"/>
    <row r="574" ht="15.75" customHeight="1" s="360"/>
    <row r="575" ht="15.75" customHeight="1" s="360"/>
    <row r="576" ht="15.75" customHeight="1" s="360"/>
    <row r="577" ht="15.75" customHeight="1" s="360"/>
    <row r="578" ht="15.75" customHeight="1" s="360"/>
    <row r="579" ht="15.75" customHeight="1" s="360"/>
    <row r="580" ht="15.75" customHeight="1" s="360"/>
    <row r="581" ht="15.75" customHeight="1" s="360"/>
    <row r="582" ht="15.75" customHeight="1" s="360"/>
    <row r="583" ht="15.75" customHeight="1" s="360"/>
    <row r="584" ht="15.75" customHeight="1" s="360"/>
    <row r="585" ht="15.75" customHeight="1" s="360"/>
    <row r="586" ht="15.75" customHeight="1" s="360"/>
    <row r="587" ht="15.75" customHeight="1" s="360"/>
    <row r="588" ht="15.75" customHeight="1" s="360"/>
    <row r="589" ht="15.75" customHeight="1" s="360"/>
    <row r="590" ht="15.75" customHeight="1" s="360"/>
    <row r="591" ht="15.75" customHeight="1" s="360"/>
    <row r="592" ht="15.75" customHeight="1" s="360"/>
    <row r="593" ht="15.75" customHeight="1" s="360"/>
    <row r="594" ht="15.75" customHeight="1" s="360"/>
    <row r="595" ht="15.75" customHeight="1" s="360"/>
    <row r="596" ht="15.75" customHeight="1" s="360"/>
    <row r="597" ht="15.75" customHeight="1" s="360"/>
    <row r="598" ht="15.75" customHeight="1" s="360"/>
    <row r="599" ht="15.75" customHeight="1" s="360"/>
    <row r="600" ht="15.75" customHeight="1" s="360"/>
    <row r="601" ht="15.75" customHeight="1" s="360"/>
    <row r="602" ht="15.75" customHeight="1" s="360"/>
    <row r="603" ht="15.75" customHeight="1" s="360"/>
    <row r="604" ht="15.75" customHeight="1" s="360"/>
    <row r="605" ht="15.75" customHeight="1" s="360"/>
    <row r="606" ht="15.75" customHeight="1" s="360"/>
    <row r="607" ht="15.75" customHeight="1" s="360"/>
    <row r="608" ht="15.75" customHeight="1" s="360"/>
    <row r="609" ht="15.75" customHeight="1" s="360"/>
    <row r="610" ht="15.75" customHeight="1" s="360"/>
    <row r="611" ht="15.75" customHeight="1" s="360"/>
    <row r="612" ht="15.75" customHeight="1" s="360"/>
    <row r="613" ht="15.75" customHeight="1" s="360"/>
    <row r="614" ht="15.75" customHeight="1" s="360"/>
    <row r="615" ht="15.75" customHeight="1" s="360"/>
    <row r="616" ht="15.75" customHeight="1" s="360"/>
    <row r="617" ht="15.75" customHeight="1" s="360"/>
    <row r="618" ht="15.75" customHeight="1" s="360"/>
    <row r="619" ht="15.75" customHeight="1" s="360"/>
    <row r="620" ht="15.75" customHeight="1" s="360"/>
    <row r="621" ht="15.75" customHeight="1" s="360"/>
    <row r="622" ht="15.75" customHeight="1" s="360"/>
    <row r="623" ht="15.75" customHeight="1" s="360"/>
    <row r="624" ht="15.75" customHeight="1" s="360"/>
    <row r="625" ht="15.75" customHeight="1" s="360"/>
    <row r="626" ht="15.75" customHeight="1" s="360"/>
    <row r="627" ht="15.75" customHeight="1" s="360"/>
    <row r="628" ht="15.75" customHeight="1" s="360"/>
    <row r="629" ht="15.75" customHeight="1" s="360"/>
    <row r="630" ht="15.75" customHeight="1" s="360"/>
    <row r="631" ht="15.75" customHeight="1" s="360"/>
    <row r="632" ht="15.75" customHeight="1" s="360"/>
    <row r="633" ht="15.75" customHeight="1" s="360"/>
    <row r="634" ht="15.75" customHeight="1" s="360"/>
    <row r="635" ht="15.75" customHeight="1" s="360"/>
    <row r="636" ht="15.75" customHeight="1" s="360"/>
    <row r="637" ht="15.75" customHeight="1" s="360"/>
    <row r="638" ht="15.75" customHeight="1" s="360"/>
    <row r="639" ht="15.75" customHeight="1" s="360"/>
    <row r="640" ht="15.75" customHeight="1" s="360"/>
    <row r="641" ht="15.75" customHeight="1" s="360"/>
    <row r="642" ht="15.75" customHeight="1" s="360"/>
    <row r="643" ht="15.75" customHeight="1" s="360"/>
    <row r="644" ht="15.75" customHeight="1" s="360"/>
    <row r="645" ht="15.75" customHeight="1" s="360"/>
    <row r="646" ht="15.75" customHeight="1" s="360"/>
    <row r="647" ht="15.75" customHeight="1" s="360"/>
    <row r="648" ht="15.75" customHeight="1" s="360"/>
    <row r="649" ht="15.75" customHeight="1" s="360"/>
    <row r="650" ht="15.75" customHeight="1" s="360"/>
    <row r="651" ht="15.75" customHeight="1" s="360"/>
    <row r="652" ht="15.75" customHeight="1" s="360"/>
    <row r="653" ht="15.75" customHeight="1" s="360"/>
    <row r="654" ht="15.75" customHeight="1" s="360"/>
    <row r="655" ht="15.75" customHeight="1" s="360"/>
    <row r="656" ht="15.75" customHeight="1" s="360"/>
    <row r="657" ht="15.75" customHeight="1" s="360"/>
    <row r="658" ht="15.75" customHeight="1" s="360"/>
    <row r="659" ht="15.75" customHeight="1" s="360"/>
    <row r="660" ht="15.75" customHeight="1" s="360"/>
    <row r="661" ht="15.75" customHeight="1" s="360"/>
    <row r="662" ht="15.75" customHeight="1" s="360"/>
    <row r="663" ht="15.75" customHeight="1" s="360"/>
    <row r="664" ht="15.75" customHeight="1" s="360"/>
    <row r="665" ht="15.75" customHeight="1" s="360"/>
    <row r="666" ht="15.75" customHeight="1" s="360"/>
    <row r="667" ht="15.75" customHeight="1" s="360"/>
    <row r="668" ht="15.75" customHeight="1" s="360"/>
    <row r="669" ht="15.75" customHeight="1" s="360"/>
    <row r="670" ht="15.75" customHeight="1" s="360"/>
    <row r="671" ht="15.75" customHeight="1" s="360"/>
    <row r="672" ht="15.75" customHeight="1" s="360"/>
    <row r="673" ht="15.75" customHeight="1" s="360"/>
    <row r="674" ht="15.75" customHeight="1" s="360"/>
    <row r="675" ht="15.75" customHeight="1" s="360"/>
    <row r="676" ht="15.75" customHeight="1" s="360"/>
    <row r="677" ht="15.75" customHeight="1" s="360"/>
    <row r="678" ht="15.75" customHeight="1" s="360"/>
    <row r="679" ht="15.75" customHeight="1" s="360"/>
    <row r="680" ht="15.75" customHeight="1" s="360"/>
    <row r="681" ht="15.75" customHeight="1" s="360"/>
    <row r="682" ht="15.75" customHeight="1" s="360"/>
    <row r="683" ht="15.75" customHeight="1" s="360"/>
    <row r="684" ht="15.75" customHeight="1" s="360"/>
    <row r="685" ht="15.75" customHeight="1" s="360"/>
    <row r="686" ht="15.75" customHeight="1" s="360"/>
    <row r="687" ht="15.75" customHeight="1" s="360"/>
    <row r="688" ht="15.75" customHeight="1" s="360"/>
    <row r="689" ht="15.75" customHeight="1" s="360"/>
    <row r="690" ht="15.75" customHeight="1" s="360"/>
    <row r="691" ht="15.75" customHeight="1" s="360"/>
    <row r="692" ht="15.75" customHeight="1" s="360"/>
    <row r="693" ht="15.75" customHeight="1" s="360"/>
    <row r="694" ht="15.75" customHeight="1" s="360"/>
    <row r="695" ht="15.75" customHeight="1" s="360"/>
    <row r="696" ht="15.75" customHeight="1" s="360"/>
    <row r="697" ht="15.75" customHeight="1" s="360"/>
    <row r="698" ht="15.75" customHeight="1" s="360"/>
    <row r="699" ht="15.75" customHeight="1" s="360"/>
    <row r="700" ht="15.75" customHeight="1" s="360"/>
    <row r="701" ht="15.75" customHeight="1" s="360"/>
    <row r="702" ht="15.75" customHeight="1" s="360"/>
    <row r="703" ht="15.75" customHeight="1" s="360"/>
    <row r="704" ht="15.75" customHeight="1" s="360"/>
    <row r="705" ht="15.75" customHeight="1" s="360"/>
    <row r="706" ht="15.75" customHeight="1" s="360"/>
    <row r="707" ht="15.75" customHeight="1" s="360"/>
    <row r="708" ht="15.75" customHeight="1" s="360"/>
    <row r="709" ht="15.75" customHeight="1" s="360"/>
    <row r="710" ht="15.75" customHeight="1" s="360"/>
    <row r="711" ht="15.75" customHeight="1" s="360"/>
    <row r="712" ht="15.75" customHeight="1" s="360"/>
    <row r="713" ht="15.75" customHeight="1" s="360"/>
    <row r="714" ht="15.75" customHeight="1" s="360"/>
    <row r="715" ht="15.75" customHeight="1" s="360"/>
    <row r="716" ht="15.75" customHeight="1" s="360"/>
    <row r="717" ht="15.75" customHeight="1" s="360"/>
    <row r="718" ht="15.75" customHeight="1" s="360"/>
    <row r="719" ht="15.75" customHeight="1" s="360"/>
    <row r="720" ht="15.75" customHeight="1" s="360"/>
    <row r="721" ht="15.75" customHeight="1" s="360"/>
    <row r="722" ht="15.75" customHeight="1" s="360"/>
    <row r="723" ht="15.75" customHeight="1" s="360"/>
    <row r="724" ht="15.75" customHeight="1" s="360"/>
    <row r="725" ht="15.75" customHeight="1" s="360"/>
    <row r="726" ht="15.75" customHeight="1" s="360"/>
    <row r="727" ht="15.75" customHeight="1" s="360"/>
    <row r="728" ht="15.75" customHeight="1" s="360"/>
    <row r="729" ht="15.75" customHeight="1" s="360"/>
    <row r="730" ht="15.75" customHeight="1" s="360"/>
    <row r="731" ht="15.75" customHeight="1" s="360"/>
    <row r="732" ht="15.75" customHeight="1" s="360"/>
    <row r="733" ht="15.75" customHeight="1" s="360"/>
    <row r="734" ht="15.75" customHeight="1" s="360"/>
    <row r="735" ht="15.75" customHeight="1" s="360"/>
    <row r="736" ht="15.75" customHeight="1" s="360"/>
    <row r="737" ht="15.75" customHeight="1" s="360"/>
    <row r="738" ht="15.75" customHeight="1" s="360"/>
    <row r="739" ht="15.75" customHeight="1" s="360"/>
    <row r="740" ht="15.75" customHeight="1" s="360"/>
    <row r="741" ht="15.75" customHeight="1" s="360"/>
    <row r="742" ht="15.75" customHeight="1" s="360"/>
    <row r="743" ht="15.75" customHeight="1" s="360"/>
    <row r="744" ht="15.75" customHeight="1" s="360"/>
    <row r="745" ht="15.75" customHeight="1" s="360"/>
    <row r="746" ht="15.75" customHeight="1" s="360"/>
    <row r="747" ht="15.75" customHeight="1" s="360"/>
    <row r="748" ht="15.75" customHeight="1" s="360"/>
    <row r="749" ht="15.75" customHeight="1" s="360"/>
    <row r="750" ht="15.75" customHeight="1" s="360"/>
    <row r="751" ht="15.75" customHeight="1" s="360"/>
    <row r="752" ht="15.75" customHeight="1" s="360"/>
    <row r="753" ht="15.75" customHeight="1" s="360"/>
    <row r="754" ht="15.75" customHeight="1" s="360"/>
    <row r="755" ht="15.75" customHeight="1" s="360"/>
    <row r="756" ht="15.75" customHeight="1" s="360"/>
    <row r="757" ht="15.75" customHeight="1" s="360"/>
    <row r="758" ht="15.75" customHeight="1" s="360"/>
    <row r="759" ht="15.75" customHeight="1" s="360"/>
    <row r="760" ht="15.75" customHeight="1" s="360"/>
    <row r="761" ht="15.75" customHeight="1" s="360"/>
    <row r="762" ht="15.75" customHeight="1" s="360"/>
    <row r="763" ht="15.75" customHeight="1" s="360"/>
    <row r="764" ht="15.75" customHeight="1" s="360"/>
    <row r="765" ht="15.75" customHeight="1" s="360"/>
    <row r="766" ht="15.75" customHeight="1" s="360"/>
    <row r="767" ht="15.75" customHeight="1" s="360"/>
    <row r="768" ht="15.75" customHeight="1" s="360"/>
    <row r="769" ht="15.75" customHeight="1" s="360"/>
    <row r="770" ht="15.75" customHeight="1" s="360"/>
    <row r="771" ht="15.75" customHeight="1" s="360"/>
    <row r="772" ht="15.75" customHeight="1" s="360"/>
    <row r="773" ht="15.75" customHeight="1" s="360"/>
    <row r="774" ht="15.75" customHeight="1" s="360"/>
    <row r="775" ht="15.75" customHeight="1" s="360"/>
    <row r="776" ht="15.75" customHeight="1" s="360"/>
    <row r="777" ht="15.75" customHeight="1" s="360"/>
    <row r="778" ht="15.75" customHeight="1" s="360"/>
    <row r="779" ht="15.75" customHeight="1" s="360"/>
    <row r="780" ht="15.75" customHeight="1" s="360"/>
    <row r="781" ht="15.75" customHeight="1" s="360"/>
    <row r="782" ht="15.75" customHeight="1" s="360"/>
    <row r="783" ht="15.75" customHeight="1" s="360"/>
    <row r="784" ht="15.75" customHeight="1" s="360"/>
    <row r="785" ht="15.75" customHeight="1" s="360"/>
    <row r="786" ht="15.75" customHeight="1" s="360"/>
    <row r="787" ht="15.75" customHeight="1" s="360"/>
    <row r="788" ht="15.75" customHeight="1" s="360"/>
    <row r="789" ht="15.75" customHeight="1" s="360"/>
    <row r="790" ht="15.75" customHeight="1" s="360"/>
    <row r="791" ht="15.75" customHeight="1" s="360"/>
    <row r="792" ht="15.75" customHeight="1" s="360"/>
    <row r="793" ht="15.75" customHeight="1" s="360"/>
    <row r="794" ht="15.75" customHeight="1" s="360"/>
    <row r="795" ht="15.75" customHeight="1" s="360"/>
    <row r="796" ht="15.75" customHeight="1" s="360"/>
    <row r="797" ht="15.75" customHeight="1" s="360"/>
    <row r="798" ht="15.75" customHeight="1" s="360"/>
    <row r="799" ht="15.75" customHeight="1" s="360"/>
    <row r="800" ht="15.75" customHeight="1" s="360"/>
    <row r="801" ht="15.75" customHeight="1" s="360"/>
    <row r="802" ht="15.75" customHeight="1" s="360"/>
    <row r="803" ht="15.75" customHeight="1" s="360"/>
    <row r="804" ht="15.75" customHeight="1" s="360"/>
    <row r="805" ht="15.75" customHeight="1" s="360"/>
    <row r="806" ht="15.75" customHeight="1" s="360"/>
    <row r="807" ht="15.75" customHeight="1" s="360"/>
    <row r="808" ht="15.75" customHeight="1" s="360"/>
    <row r="809" ht="15.75" customHeight="1" s="360"/>
    <row r="810" ht="15.75" customHeight="1" s="360"/>
    <row r="811" ht="15.75" customHeight="1" s="360"/>
    <row r="812" ht="15.75" customHeight="1" s="360"/>
    <row r="813" ht="15.75" customHeight="1" s="360"/>
    <row r="814" ht="15.75" customHeight="1" s="360"/>
    <row r="815" ht="15.75" customHeight="1" s="360"/>
    <row r="816" ht="15.75" customHeight="1" s="360"/>
    <row r="817" ht="15.75" customHeight="1" s="360"/>
    <row r="818" ht="15.75" customHeight="1" s="360"/>
    <row r="819" ht="15.75" customHeight="1" s="360"/>
    <row r="820" ht="15.75" customHeight="1" s="360"/>
    <row r="821" ht="15.75" customHeight="1" s="360"/>
    <row r="822" ht="15.75" customHeight="1" s="360"/>
    <row r="823" ht="15.75" customHeight="1" s="360"/>
    <row r="824" ht="15.75" customHeight="1" s="360"/>
    <row r="825" ht="15.75" customHeight="1" s="360"/>
    <row r="826" ht="15.75" customHeight="1" s="360"/>
    <row r="827" ht="15.75" customHeight="1" s="360"/>
    <row r="828" ht="15.75" customHeight="1" s="360"/>
    <row r="829" ht="15.75" customHeight="1" s="360"/>
    <row r="830" ht="15.75" customHeight="1" s="360"/>
    <row r="831" ht="15.75" customHeight="1" s="360"/>
    <row r="832" ht="15.75" customHeight="1" s="360"/>
    <row r="833" ht="15.75" customHeight="1" s="360"/>
    <row r="834" ht="15.75" customHeight="1" s="360"/>
    <row r="835" ht="15.75" customHeight="1" s="360"/>
    <row r="836" ht="15.75" customHeight="1" s="360"/>
    <row r="837" ht="15.75" customHeight="1" s="360"/>
    <row r="838" ht="15.75" customHeight="1" s="360"/>
    <row r="839" ht="15.75" customHeight="1" s="360"/>
    <row r="840" ht="15.75" customHeight="1" s="360"/>
    <row r="841" ht="15.75" customHeight="1" s="360"/>
    <row r="842" ht="15.75" customHeight="1" s="360"/>
    <row r="843" ht="15.75" customHeight="1" s="360"/>
    <row r="844" ht="15.75" customHeight="1" s="360"/>
    <row r="845" ht="15.75" customHeight="1" s="360"/>
    <row r="846" ht="15.75" customHeight="1" s="360"/>
    <row r="847" ht="15.75" customHeight="1" s="360"/>
    <row r="848" ht="15.75" customHeight="1" s="360"/>
    <row r="849" ht="15.75" customHeight="1" s="360"/>
    <row r="850" ht="15.75" customHeight="1" s="360"/>
    <row r="851" ht="15.75" customHeight="1" s="360"/>
    <row r="852" ht="15.75" customHeight="1" s="360"/>
    <row r="853" ht="15.75" customHeight="1" s="360"/>
    <row r="854" ht="15.75" customHeight="1" s="360"/>
    <row r="855" ht="15.75" customHeight="1" s="360"/>
    <row r="856" ht="15.75" customHeight="1" s="360"/>
    <row r="857" ht="15.75" customHeight="1" s="360"/>
    <row r="858" ht="15.75" customHeight="1" s="360"/>
    <row r="859" ht="15.75" customHeight="1" s="360"/>
    <row r="860" ht="15.75" customHeight="1" s="360"/>
    <row r="861" ht="15.75" customHeight="1" s="360"/>
    <row r="862" ht="15.75" customHeight="1" s="360"/>
    <row r="863" ht="15.75" customHeight="1" s="360"/>
    <row r="864" ht="15.75" customHeight="1" s="360"/>
    <row r="865" ht="15.75" customHeight="1" s="360"/>
    <row r="866" ht="15.75" customHeight="1" s="360"/>
    <row r="867" ht="15.75" customHeight="1" s="360"/>
    <row r="868" ht="15.75" customHeight="1" s="360"/>
    <row r="869" ht="15.75" customHeight="1" s="360"/>
    <row r="870" ht="15.75" customHeight="1" s="360"/>
    <row r="871" ht="15.75" customHeight="1" s="360"/>
    <row r="872" ht="15.75" customHeight="1" s="360"/>
    <row r="873" ht="15.75" customHeight="1" s="360"/>
    <row r="874" ht="15.75" customHeight="1" s="360"/>
    <row r="875" ht="15.75" customHeight="1" s="360"/>
    <row r="876" ht="15.75" customHeight="1" s="360"/>
    <row r="877" ht="15.75" customHeight="1" s="360"/>
    <row r="878" ht="15.75" customHeight="1" s="360"/>
    <row r="879" ht="15.75" customHeight="1" s="360"/>
    <row r="880" ht="15.75" customHeight="1" s="360"/>
    <row r="881" ht="15.75" customHeight="1" s="360"/>
    <row r="882" ht="15.75" customHeight="1" s="360"/>
    <row r="883" ht="15.75" customHeight="1" s="360"/>
    <row r="884" ht="15.75" customHeight="1" s="360"/>
    <row r="885" ht="15.75" customHeight="1" s="360"/>
    <row r="886" ht="15.75" customHeight="1" s="360"/>
    <row r="887" ht="15.75" customHeight="1" s="360"/>
    <row r="888" ht="15.75" customHeight="1" s="360"/>
    <row r="889" ht="15.75" customHeight="1" s="360"/>
    <row r="890" ht="15.75" customHeight="1" s="360"/>
    <row r="891" ht="15.75" customHeight="1" s="360"/>
    <row r="892" ht="15.75" customHeight="1" s="360"/>
    <row r="893" ht="15.75" customHeight="1" s="360"/>
    <row r="894" ht="15.75" customHeight="1" s="360"/>
    <row r="895" ht="15.75" customHeight="1" s="360"/>
    <row r="896" ht="15.75" customHeight="1" s="360"/>
    <row r="897" ht="15.75" customHeight="1" s="360"/>
    <row r="898" ht="15.75" customHeight="1" s="360"/>
    <row r="899" ht="15.75" customHeight="1" s="360"/>
    <row r="900" ht="15.75" customHeight="1" s="360"/>
    <row r="901" ht="15.75" customHeight="1" s="360"/>
    <row r="902" ht="15.75" customHeight="1" s="360"/>
    <row r="903" ht="15.75" customHeight="1" s="360"/>
    <row r="904" ht="15.75" customHeight="1" s="360"/>
    <row r="905" ht="15.75" customHeight="1" s="360"/>
    <row r="906" ht="15.75" customHeight="1" s="360"/>
    <row r="907" ht="15.75" customHeight="1" s="360"/>
    <row r="908" ht="15.75" customHeight="1" s="360"/>
    <row r="909" ht="15.75" customHeight="1" s="360"/>
    <row r="910" ht="15.75" customHeight="1" s="360"/>
    <row r="911" ht="15.75" customHeight="1" s="360"/>
    <row r="912" ht="15.75" customHeight="1" s="360"/>
    <row r="913" ht="15.75" customHeight="1" s="360"/>
    <row r="914" ht="15.75" customHeight="1" s="360"/>
    <row r="915" ht="15.75" customHeight="1" s="360"/>
    <row r="916" ht="15.75" customHeight="1" s="360"/>
    <row r="917" ht="15.75" customHeight="1" s="360"/>
    <row r="918" ht="15.75" customHeight="1" s="360"/>
    <row r="919" ht="15.75" customHeight="1" s="360"/>
    <row r="920" ht="15.75" customHeight="1" s="360"/>
    <row r="921" ht="15.75" customHeight="1" s="360"/>
    <row r="922" ht="15.75" customHeight="1" s="360"/>
    <row r="923" ht="15.75" customHeight="1" s="360"/>
    <row r="924" ht="15.75" customHeight="1" s="360"/>
    <row r="925" ht="15.75" customHeight="1" s="360"/>
    <row r="926" ht="15.75" customHeight="1" s="360"/>
    <row r="927" ht="15.75" customHeight="1" s="360"/>
    <row r="928" ht="15.75" customHeight="1" s="360"/>
    <row r="929" ht="15.75" customHeight="1" s="360"/>
    <row r="930" ht="15.75" customHeight="1" s="360"/>
    <row r="931" ht="15.75" customHeight="1" s="360"/>
    <row r="932" ht="15.75" customHeight="1" s="360"/>
    <row r="933" ht="15.75" customHeight="1" s="360"/>
    <row r="934" ht="15.75" customHeight="1" s="360"/>
    <row r="935" ht="15.75" customHeight="1" s="360"/>
    <row r="936" ht="15.75" customHeight="1" s="360"/>
    <row r="937" ht="15.75" customHeight="1" s="360"/>
    <row r="938" ht="15.75" customHeight="1" s="360"/>
    <row r="939" ht="15.75" customHeight="1" s="360"/>
    <row r="940" ht="15.75" customHeight="1" s="360"/>
    <row r="941" ht="15.75" customHeight="1" s="360"/>
    <row r="942" ht="15.75" customHeight="1" s="360"/>
    <row r="943" ht="15.75" customHeight="1" s="360"/>
    <row r="944" ht="15.75" customHeight="1" s="360"/>
    <row r="945" ht="15.75" customHeight="1" s="360"/>
    <row r="946" ht="15.75" customHeight="1" s="360"/>
    <row r="947" ht="15.75" customHeight="1" s="360"/>
    <row r="948" ht="15.75" customHeight="1" s="360"/>
    <row r="949" ht="15.75" customHeight="1" s="360"/>
    <row r="950" ht="15.75" customHeight="1" s="360"/>
    <row r="951" ht="15.75" customHeight="1" s="360"/>
    <row r="952" ht="15.75" customHeight="1" s="360"/>
    <row r="953" ht="15.75" customHeight="1" s="360"/>
    <row r="954" ht="15.75" customHeight="1" s="360"/>
    <row r="955" ht="15.75" customHeight="1" s="360"/>
    <row r="956" ht="15.75" customHeight="1" s="360"/>
    <row r="957" ht="15.75" customHeight="1" s="360"/>
    <row r="958" ht="15.75" customHeight="1" s="360"/>
    <row r="959" ht="15.75" customHeight="1" s="360"/>
    <row r="960" ht="15.75" customHeight="1" s="360"/>
    <row r="961" ht="15.75" customHeight="1" s="360"/>
    <row r="962" ht="15.75" customHeight="1" s="360"/>
    <row r="963" ht="15.75" customHeight="1" s="360"/>
    <row r="964" ht="15.75" customHeight="1" s="360"/>
    <row r="965" ht="15.75" customHeight="1" s="360"/>
    <row r="966" ht="15.75" customHeight="1" s="360"/>
    <row r="967" ht="15.75" customHeight="1" s="360"/>
    <row r="968" ht="15.75" customHeight="1" s="360"/>
    <row r="969" ht="15.75" customHeight="1" s="360"/>
    <row r="970" ht="15.75" customHeight="1" s="360"/>
    <row r="971" ht="15.75" customHeight="1" s="360"/>
    <row r="972" ht="15.75" customHeight="1" s="360"/>
    <row r="973" ht="15.75" customHeight="1" s="360"/>
    <row r="974" ht="15.75" customHeight="1" s="360"/>
    <row r="975" ht="15.75" customHeight="1" s="360"/>
    <row r="976" ht="15.75" customHeight="1" s="360"/>
    <row r="977" ht="15.75" customHeight="1" s="360"/>
    <row r="978" ht="15.75" customHeight="1" s="360"/>
    <row r="979" ht="15.75" customHeight="1" s="360"/>
    <row r="980" ht="15.75" customHeight="1" s="360"/>
    <row r="981" ht="15.75" customHeight="1" s="360"/>
    <row r="982" ht="15.75" customHeight="1" s="360"/>
    <row r="983" ht="15.75" customHeight="1" s="360"/>
    <row r="984" ht="15.75" customHeight="1" s="360"/>
    <row r="985" ht="15.75" customHeight="1" s="360"/>
    <row r="986" ht="15.75" customHeight="1" s="360"/>
    <row r="987" ht="15.75" customHeight="1" s="360"/>
    <row r="988" ht="15.75" customHeight="1" s="360"/>
    <row r="989" ht="15.75" customHeight="1" s="360"/>
    <row r="990" ht="15.75" customHeight="1" s="360"/>
    <row r="991" ht="15.75" customHeight="1" s="360"/>
    <row r="992" ht="15.75" customHeight="1" s="360"/>
    <row r="993" ht="15.75" customHeight="1" s="360"/>
    <row r="994" ht="15.75" customHeight="1" s="360"/>
    <row r="995" ht="15.75" customHeight="1" s="360"/>
    <row r="996" ht="15.75" customHeight="1" s="360"/>
    <row r="997" ht="15.75" customHeight="1" s="360"/>
    <row r="998" ht="15.75" customHeight="1" s="360"/>
    <row r="999" ht="15.75" customHeight="1" s="360"/>
    <row r="1000" ht="15.75" customHeight="1" s="360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2026-05-30T14:59:52Z</dcterms:created>
  <dcterms:modified xmlns:dcterms="http://purl.org/dc/terms/" xmlns:xsi="http://www.w3.org/2001/XMLSchema-instance" xsi:type="dcterms:W3CDTF">2026-06-02T21:48:58Z</dcterms:modified>
</cp:coreProperties>
</file>